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aster Budget" sheetId="2" state="visible" r:id="rId2"/>
    <sheet xmlns:r="http://schemas.openxmlformats.org/officeDocument/2006/relationships" name="Category Rules" sheetId="3" state="visible" r:id="rId3"/>
    <sheet xmlns:r="http://schemas.openxmlformats.org/officeDocument/2006/relationships" name="Bank Statements" sheetId="4" state="visible" r:id="rId4"/>
    <sheet xmlns:r="http://schemas.openxmlformats.org/officeDocument/2006/relationships" name="Budget vs Actu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0.0%"/>
  </numFmts>
  <fonts count="1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CBD5E1"/>
      <sz val="10"/>
    </font>
    <font>
      <name val="Segoe UI"/>
      <i val="1"/>
      <color rgb="0064748B"/>
      <sz val="9"/>
    </font>
    <font>
      <name val="Segoe UI"/>
      <b val="1"/>
      <color rgb="000F172A"/>
      <sz val="12"/>
    </font>
    <font>
      <name val="Segoe UI"/>
      <b val="1"/>
      <color rgb="00FFFFFF"/>
      <sz val="10"/>
    </font>
    <font>
      <name val="Segoe UI"/>
      <color rgb="00000000"/>
      <sz val="10"/>
    </font>
    <font>
      <name val="Segoe UI"/>
      <b val="1"/>
      <color rgb="00000000"/>
      <sz val="10"/>
    </font>
    <font>
      <name val="Segoe UI"/>
      <b val="1"/>
      <color rgb="00059669"/>
      <sz val="10"/>
    </font>
    <font>
      <name val="Segoe UI"/>
      <color rgb="00059669"/>
      <sz val="8"/>
    </font>
    <font>
      <name val="Segoe UI"/>
      <b val="1"/>
      <sz val="8"/>
    </font>
    <font>
      <name val="Segoe UI"/>
      <b val="1"/>
      <color rgb="000F172A"/>
      <sz val="16"/>
    </font>
    <font>
      <name val="Segoe UI"/>
      <b val="1"/>
      <color rgb="00475569"/>
      <sz val="9"/>
    </font>
    <font>
      <name val="Segoe UI"/>
      <i val="1"/>
      <color rgb="0064748B"/>
      <sz val="8"/>
    </font>
    <font>
      <name val="Segoe UI"/>
      <sz val="9"/>
    </font>
  </fonts>
  <fills count="1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BEAFE"/>
        <bgColor rgb="00DBEAFE"/>
      </patternFill>
    </fill>
    <fill>
      <patternFill patternType="solid">
        <fgColor rgb="002563EB"/>
        <bgColor rgb="002563EB"/>
      </patternFill>
    </fill>
    <fill>
      <patternFill patternType="solid">
        <fgColor rgb="00E2E8F0"/>
        <bgColor rgb="00E2E8F0"/>
      </patternFill>
    </fill>
    <fill>
      <patternFill patternType="solid">
        <fgColor rgb="00CCFBF1"/>
        <bgColor rgb="00CCFBF1"/>
      </patternFill>
    </fill>
    <fill>
      <patternFill patternType="solid">
        <fgColor rgb="000D9488"/>
        <bgColor rgb="000D9488"/>
      </patternFill>
    </fill>
    <fill>
      <patternFill patternType="solid">
        <fgColor rgb="00F1F5F9"/>
        <bgColor rgb="00F1F5F9"/>
      </patternFill>
    </fill>
    <fill>
      <patternFill patternType="solid">
        <fgColor rgb="007C3AED"/>
        <bgColor rgb="007C3AED"/>
      </patternFill>
    </fill>
    <fill>
      <patternFill patternType="solid">
        <fgColor rgb="00BE123C"/>
        <bgColor rgb="00BE123C"/>
      </patternFill>
    </fill>
    <fill>
      <patternFill patternType="solid">
        <fgColor rgb="00047857"/>
        <bgColor rgb="00047857"/>
      </patternFill>
    </fill>
    <fill>
      <patternFill patternType="solid">
        <fgColor rgb="004338CA"/>
        <bgColor rgb="004338CA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FAF5FF"/>
        <bgColor rgb="00FAF5FF"/>
      </patternFill>
    </fill>
    <fill>
      <patternFill patternType="solid">
        <fgColor rgb="00EDE9FE"/>
        <bgColor rgb="00EDE9FE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293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12" fillId="13" borderId="2" applyAlignment="1" pivotButton="0" quotePrefix="0" xfId="0">
      <alignment horizontal="center" vertical="center"/>
    </xf>
    <xf numFmtId="0" fontId="0" fillId="13" borderId="2" pivotButton="0" quotePrefix="0" xfId="0"/>
    <xf numFmtId="0" fontId="12" fillId="14" borderId="2" applyAlignment="1" pivotButton="0" quotePrefix="0" xfId="0">
      <alignment horizontal="center" vertical="center"/>
    </xf>
    <xf numFmtId="0" fontId="0" fillId="14" borderId="2" pivotButton="0" quotePrefix="0" xfId="0"/>
    <xf numFmtId="0" fontId="12" fillId="15" borderId="2" applyAlignment="1" pivotButton="0" quotePrefix="0" xfId="0">
      <alignment horizontal="center" vertical="center"/>
    </xf>
    <xf numFmtId="0" fontId="0" fillId="15" borderId="2" pivotButton="0" quotePrefix="0" xfId="0"/>
    <xf numFmtId="0" fontId="12" fillId="16" borderId="2" applyAlignment="1" pivotButton="0" quotePrefix="0" xfId="0">
      <alignment horizontal="center" vertical="center"/>
    </xf>
    <xf numFmtId="0" fontId="0" fillId="16" borderId="2" pivotButton="0" quotePrefix="0" xfId="0"/>
    <xf numFmtId="164" fontId="11" fillId="13" borderId="2" applyAlignment="1" pivotButton="0" quotePrefix="0" xfId="0">
      <alignment horizontal="center" vertical="center"/>
    </xf>
    <xf numFmtId="164" fontId="11" fillId="14" borderId="2" applyAlignment="1" pivotButton="0" quotePrefix="0" xfId="0">
      <alignment horizontal="center" vertical="center"/>
    </xf>
    <xf numFmtId="164" fontId="11" fillId="15" borderId="2" applyAlignment="1" pivotButton="0" quotePrefix="0" xfId="0">
      <alignment horizontal="center" vertical="center"/>
    </xf>
    <xf numFmtId="164" fontId="11" fillId="16" borderId="2" applyAlignment="1" pivotButton="0" quotePrefix="0" xfId="0">
      <alignment horizontal="center" vertical="center"/>
    </xf>
    <xf numFmtId="0" fontId="13" fillId="13" borderId="2" applyAlignment="1" pivotButton="0" quotePrefix="0" xfId="0">
      <alignment horizontal="center" vertical="center"/>
    </xf>
    <xf numFmtId="0" fontId="13" fillId="14" borderId="2" applyAlignment="1" pivotButton="0" quotePrefix="0" xfId="0">
      <alignment horizontal="center" vertical="center"/>
    </xf>
    <xf numFmtId="0" fontId="13" fillId="15" borderId="2" applyAlignment="1" pivotButton="0" quotePrefix="0" xfId="0">
      <alignment horizontal="center" vertical="center"/>
    </xf>
    <xf numFmtId="0" fontId="13" fillId="16" borderId="2" applyAlignment="1" pivotButton="0" quotePrefix="0" xfId="0">
      <alignment horizontal="center" vertical="center"/>
    </xf>
    <xf numFmtId="0" fontId="4" fillId="3" borderId="0" pivotButton="0" quotePrefix="0" xfId="0"/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7" fillId="0" borderId="2" pivotButton="0" quotePrefix="0" xfId="0"/>
    <xf numFmtId="164" fontId="0" fillId="0" borderId="2" applyAlignment="1" pivotButton="0" quotePrefix="0" xfId="0">
      <alignment horizontal="right" vertical="center"/>
    </xf>
    <xf numFmtId="165" fontId="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8" borderId="2" pivotButton="0" quotePrefix="0" xfId="0"/>
    <xf numFmtId="164" fontId="0" fillId="8" borderId="2" applyAlignment="1" pivotButton="0" quotePrefix="0" xfId="0">
      <alignment horizontal="right" vertical="center"/>
    </xf>
    <xf numFmtId="165" fontId="0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4" fillId="6" borderId="0" pivotButton="0" quotePrefix="0" xfId="0"/>
    <xf numFmtId="0" fontId="5" fillId="9" borderId="0" applyAlignment="1" pivotButton="0" quotePrefix="0" xfId="0">
      <alignment horizontal="left" vertical="center" indent="1"/>
    </xf>
    <xf numFmtId="0" fontId="7" fillId="17" borderId="2" applyAlignment="1" pivotButton="0" quotePrefix="0" xfId="0">
      <alignment horizontal="center" vertical="center"/>
    </xf>
    <xf numFmtId="0" fontId="14" fillId="0" borderId="2" applyAlignment="1" pivotButton="0" quotePrefix="0" xfId="0">
      <alignment horizontal="left" vertical="center" wrapText="1"/>
    </xf>
    <xf numFmtId="0" fontId="0" fillId="0" borderId="2" pivotButton="0" quotePrefix="0" xfId="0"/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  <xf numFmtId="0" fontId="6" fillId="0" borderId="2" pivotButton="0" quotePrefix="0" xfId="0"/>
    <xf numFmtId="0" fontId="6" fillId="0" borderId="2" applyAlignment="1" pivotButton="0" quotePrefix="0" xfId="0">
      <alignment horizontal="center" vertical="center"/>
    </xf>
    <xf numFmtId="164" fontId="6" fillId="0" borderId="2" applyAlignment="1" pivotButton="0" quotePrefix="0" xfId="0">
      <alignment horizontal="right" vertical="center"/>
    </xf>
    <xf numFmtId="165" fontId="6" fillId="0" borderId="2" applyAlignment="1" pivotButton="0" quotePrefix="0" xfId="0">
      <alignment horizontal="center" vertical="center"/>
    </xf>
    <xf numFmtId="0" fontId="7" fillId="5" borderId="3" pivotButton="0" quotePrefix="0" xfId="0"/>
    <xf numFmtId="0" fontId="7" fillId="5" borderId="3" applyAlignment="1" pivotButton="0" quotePrefix="0" xfId="0">
      <alignment horizontal="center" vertical="center"/>
    </xf>
    <xf numFmtId="164" fontId="7" fillId="5" borderId="3" applyAlignment="1" pivotButton="0" quotePrefix="0" xfId="0">
      <alignment horizontal="right" vertical="center"/>
    </xf>
    <xf numFmtId="165" fontId="7" fillId="5" borderId="3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right" vertical="center"/>
    </xf>
    <xf numFmtId="0" fontId="6" fillId="8" borderId="2" pivotButton="0" quotePrefix="0" xfId="0"/>
    <xf numFmtId="0" fontId="6" fillId="8" borderId="2" applyAlignment="1" pivotButton="0" quotePrefix="0" xfId="0">
      <alignment horizontal="center" vertical="center"/>
    </xf>
    <xf numFmtId="164" fontId="6" fillId="8" borderId="2" applyAlignment="1" pivotButton="0" quotePrefix="0" xfId="0">
      <alignment horizontal="right" vertical="center"/>
    </xf>
    <xf numFmtId="165" fontId="6" fillId="8" borderId="2" applyAlignment="1" pivotButton="0" quotePrefix="0" xfId="0">
      <alignment horizontal="center" vertical="center"/>
    </xf>
    <xf numFmtId="0" fontId="4" fillId="0" borderId="0" pivotButton="0" quotePrefix="0" xfId="0"/>
    <xf numFmtId="164" fontId="7" fillId="0" borderId="0" applyAlignment="1" pivotButton="0" quotePrefix="0" xfId="0">
      <alignment horizontal="right" vertical="center"/>
    </xf>
    <xf numFmtId="0" fontId="8" fillId="0" borderId="0" pivotButton="0" quotePrefix="0" xfId="0"/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right" vertical="center"/>
    </xf>
    <xf numFmtId="0" fontId="5" fillId="11" borderId="1" applyAlignment="1" pivotButton="0" quotePrefix="0" xfId="0">
      <alignment horizontal="right" vertical="center"/>
    </xf>
    <xf numFmtId="0" fontId="5" fillId="12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0" fillId="5" borderId="3" pivotButton="0" quotePrefix="0" xfId="0"/>
    <xf numFmtId="0" fontId="0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  <xf numFmtId="164" fontId="11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Master Budget Distribution (% of ₹31k Funds)</a:t>
            </a:r>
          </a:p>
        </rich>
      </tx>
    </title>
    <plotArea>
      <doughnutChart>
        <varyColors val="1"/>
        <ser>
          <idx val="0"/>
          <order val="0"/>
          <tx>
            <strRef>
              <f>'Master Budget'!C12</f>
            </strRef>
          </tx>
          <spPr>
            <a:ln xmlns:a="http://schemas.openxmlformats.org/drawingml/2006/main">
              <a:prstDash val="solid"/>
            </a:ln>
          </spPr>
          <cat>
            <numRef>
              <f>'Master Budget'!$A$13:$A$19</f>
            </numRef>
          </cat>
          <val>
            <numRef>
              <f>'Master Budget'!$C$13:$C$19</f>
            </numRef>
          </val>
        </ser>
        <firstSliceAng val="0"/>
        <holeSize val="50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Category-Wise Planned vs Actual Spend (₹)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'Budget vs Actual'!C12</f>
            </strRef>
          </tx>
          <spPr>
            <a:ln xmlns:a="http://schemas.openxmlformats.org/drawingml/2006/main">
              <a:prstDash val="solid"/>
            </a:ln>
          </spPr>
          <cat>
            <numRef>
              <f>'Budget vs Actual'!$A$13:$A$19</f>
            </numRef>
          </cat>
          <val>
            <numRef>
              <f>'Budget vs Actual'!$C$13:$C$19</f>
            </numRef>
          </val>
        </ser>
        <ser>
          <idx val="1"/>
          <order val="1"/>
          <tx>
            <strRef>
              <f>'Budget vs Actual'!D12</f>
            </strRef>
          </tx>
          <spPr>
            <a:ln xmlns:a="http://schemas.openxmlformats.org/drawingml/2006/main">
              <a:prstDash val="solid"/>
            </a:ln>
          </spPr>
          <cat>
            <numRef>
              <f>'Budget vs Actual'!$A$13:$A$19</f>
            </numRef>
          </cat>
          <val>
            <numRef>
              <f>'Budget vs Actual'!$D$13:$D$19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Expense Categories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8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792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20" customWidth="1" min="5" max="5"/>
    <col width="24" customWidth="1" min="6" max="6"/>
    <col width="16" customWidth="1" min="7" max="7"/>
    <col width="14" customWidth="1" min="8" max="8"/>
    <col width="24" customWidth="1" min="9" max="9"/>
    <col width="20" customWidth="1" min="10" max="10"/>
    <col width="22" customWidth="1" min="11" max="11"/>
  </cols>
  <sheetData>
    <row r="1" ht="28" customHeight="1">
      <c r="A1" s="1" t="inlineStr">
        <is>
          <t>⚡ FiscalFlow Financial Intelligence &amp; Budget Command Center</t>
        </is>
      </c>
    </row>
    <row r="2" ht="20" customHeight="1"/>
    <row r="3">
      <c r="A3" s="2" t="inlineStr">
        <is>
          <t>Real-time automated analytics based on your Sigma Soft Tech Park master budget (₹31,000) and bank statement ingestion.</t>
        </is>
      </c>
    </row>
    <row r="5">
      <c r="A5" s="3" t="inlineStr">
        <is>
          <t>TOTAL MONTHLY INFLOW</t>
        </is>
      </c>
      <c r="B5" s="4" t="n"/>
      <c r="D5" s="5" t="inlineStr">
        <is>
          <t>TOTAL EXPENSES &amp; ALLOCATIONS</t>
        </is>
      </c>
      <c r="E5" s="6" t="n"/>
      <c r="G5" s="7" t="inlineStr">
        <is>
          <t>WEALTH &amp; EMERGENCY ASSETS</t>
        </is>
      </c>
      <c r="H5" s="8" t="n"/>
      <c r="J5" s="9" t="inlineStr">
        <is>
          <t>NET CASH SURPLUS / BUFFER</t>
        </is>
      </c>
      <c r="K5" s="10" t="n"/>
    </row>
    <row r="6">
      <c r="A6" s="11">
        <f>'Budget vs Actual'!D9</f>
        <v/>
      </c>
      <c r="B6" s="4" t="n"/>
      <c r="D6" s="12">
        <f>'Budget vs Actual'!D20</f>
        <v/>
      </c>
      <c r="E6" s="6" t="n"/>
      <c r="G6" s="13">
        <f>'Budget vs Actual'!D17+'Budget vs Actual'!D18</f>
        <v/>
      </c>
      <c r="H6" s="8" t="n"/>
      <c r="J6" s="14">
        <f>'Budget vs Actual'!D9-'Budget vs Actual'!D20</f>
        <v/>
      </c>
      <c r="K6" s="10" t="n"/>
    </row>
    <row r="7">
      <c r="A7" s="15">
        <f>'Budget vs Actual'!G9 &amp; ' (Target: ₹' &amp; TEXT('Master Budget'!C9,'#,##0') &amp; ')'</f>
        <v/>
      </c>
      <c r="B7" s="4" t="n"/>
      <c r="D7" s="16">
        <f>'Budget vs Actual'!G20 &amp; ' (Burn: ' &amp; TEXT('Budget vs Actual'!E20,'0.0%') &amp; ')'</f>
        <v/>
      </c>
      <c r="E7" s="6" t="n"/>
      <c r="G7" s="17">
        <f>'SIP: ₹' &amp; TEXT('Budget vs Actual'!D18,'#,##0') &amp; ' | Emergency: ₹' &amp; TEXT('Budget vs Actual'!D17,'#,##0')</f>
        <v/>
      </c>
      <c r="H7" s="8" t="n"/>
      <c r="J7" s="18">
        <f>'Unallocated Buffer Left: ₹' &amp; TEXT('Budget vs Actual'!F19,'#,##0')</f>
        <v/>
      </c>
      <c r="K7" s="10" t="n"/>
    </row>
    <row r="9">
      <c r="A9" s="19" t="inlineStr">
        <is>
          <t>📊 CATEGORY BUDGET HEALTH &amp; OVERGROWN DETECTION SUMMARY</t>
        </is>
      </c>
    </row>
    <row r="10">
      <c r="A10" s="20" t="inlineStr">
        <is>
          <t>Category Line Item</t>
        </is>
      </c>
      <c r="B10" s="21" t="inlineStr">
        <is>
          <t>Planned (₹)</t>
        </is>
      </c>
      <c r="C10" s="21" t="inlineStr">
        <is>
          <t>Actual (₹)</t>
        </is>
      </c>
      <c r="D10" s="22" t="inlineStr">
        <is>
          <t>Burn %</t>
        </is>
      </c>
      <c r="E10" s="21" t="inlineStr">
        <is>
          <t>Remaining / Over (₹)</t>
        </is>
      </c>
      <c r="F10" s="22" t="inlineStr">
        <is>
          <t>Status Alert</t>
        </is>
      </c>
    </row>
    <row r="11">
      <c r="A11" s="23">
        <f>'Budget vs Actual'!A13</f>
        <v/>
      </c>
      <c r="B11" s="24">
        <f>'Budget vs Actual'!C13</f>
        <v/>
      </c>
      <c r="C11" s="24">
        <f>'Budget vs Actual'!D13</f>
        <v/>
      </c>
      <c r="D11" s="25">
        <f>'Budget vs Actual'!E13</f>
        <v/>
      </c>
      <c r="E11" s="24">
        <f>'Budget vs Actual'!F13</f>
        <v/>
      </c>
      <c r="F11" s="26">
        <f>'Budget vs Actual'!G13</f>
        <v/>
      </c>
    </row>
    <row r="12">
      <c r="A12" s="27">
        <f>'Budget vs Actual'!A14</f>
        <v/>
      </c>
      <c r="B12" s="28">
        <f>'Budget vs Actual'!C14</f>
        <v/>
      </c>
      <c r="C12" s="28">
        <f>'Budget vs Actual'!D14</f>
        <v/>
      </c>
      <c r="D12" s="29">
        <f>'Budget vs Actual'!E14</f>
        <v/>
      </c>
      <c r="E12" s="28">
        <f>'Budget vs Actual'!F14</f>
        <v/>
      </c>
      <c r="F12" s="30">
        <f>'Budget vs Actual'!G14</f>
        <v/>
      </c>
    </row>
    <row r="13">
      <c r="A13" s="23">
        <f>'Budget vs Actual'!A15</f>
        <v/>
      </c>
      <c r="B13" s="24">
        <f>'Budget vs Actual'!C15</f>
        <v/>
      </c>
      <c r="C13" s="24">
        <f>'Budget vs Actual'!D15</f>
        <v/>
      </c>
      <c r="D13" s="25">
        <f>'Budget vs Actual'!E15</f>
        <v/>
      </c>
      <c r="E13" s="24">
        <f>'Budget vs Actual'!F15</f>
        <v/>
      </c>
      <c r="F13" s="26">
        <f>'Budget vs Actual'!G15</f>
        <v/>
      </c>
    </row>
    <row r="14">
      <c r="A14" s="27">
        <f>'Budget vs Actual'!A16</f>
        <v/>
      </c>
      <c r="B14" s="28">
        <f>'Budget vs Actual'!C16</f>
        <v/>
      </c>
      <c r="C14" s="28">
        <f>'Budget vs Actual'!D16</f>
        <v/>
      </c>
      <c r="D14" s="29">
        <f>'Budget vs Actual'!E16</f>
        <v/>
      </c>
      <c r="E14" s="28">
        <f>'Budget vs Actual'!F16</f>
        <v/>
      </c>
      <c r="F14" s="30">
        <f>'Budget vs Actual'!G16</f>
        <v/>
      </c>
    </row>
    <row r="15">
      <c r="A15" s="23">
        <f>'Budget vs Actual'!A17</f>
        <v/>
      </c>
      <c r="B15" s="24">
        <f>'Budget vs Actual'!C17</f>
        <v/>
      </c>
      <c r="C15" s="24">
        <f>'Budget vs Actual'!D17</f>
        <v/>
      </c>
      <c r="D15" s="25">
        <f>'Budget vs Actual'!E17</f>
        <v/>
      </c>
      <c r="E15" s="24">
        <f>'Budget vs Actual'!F17</f>
        <v/>
      </c>
      <c r="F15" s="26">
        <f>'Budget vs Actual'!G17</f>
        <v/>
      </c>
    </row>
    <row r="16">
      <c r="A16" s="27">
        <f>'Budget vs Actual'!A18</f>
        <v/>
      </c>
      <c r="B16" s="28">
        <f>'Budget vs Actual'!C18</f>
        <v/>
      </c>
      <c r="C16" s="28">
        <f>'Budget vs Actual'!D18</f>
        <v/>
      </c>
      <c r="D16" s="29">
        <f>'Budget vs Actual'!E18</f>
        <v/>
      </c>
      <c r="E16" s="28">
        <f>'Budget vs Actual'!F18</f>
        <v/>
      </c>
      <c r="F16" s="30">
        <f>'Budget vs Actual'!G18</f>
        <v/>
      </c>
    </row>
    <row r="17">
      <c r="A17" s="23">
        <f>'Budget vs Actual'!A19</f>
        <v/>
      </c>
      <c r="B17" s="24">
        <f>'Budget vs Actual'!C19</f>
        <v/>
      </c>
      <c r="C17" s="24">
        <f>'Budget vs Actual'!D19</f>
        <v/>
      </c>
      <c r="D17" s="25">
        <f>'Budget vs Actual'!E19</f>
        <v/>
      </c>
      <c r="E17" s="24">
        <f>'Budget vs Actual'!F19</f>
        <v/>
      </c>
      <c r="F17" s="26">
        <f>'Budget vs Actual'!G19</f>
        <v/>
      </c>
    </row>
    <row r="20">
      <c r="A20" s="31" t="inlineStr">
        <is>
          <t>📈 VISUAL COMPARISON: PLANNED BUDGET VS ACTUAL SPEND</t>
        </is>
      </c>
    </row>
    <row r="21">
      <c r="H21" s="32" t="inlineStr">
        <is>
          <t>💡 HOW TO USE THIS AUTOMATED TRACKER</t>
        </is>
      </c>
    </row>
    <row r="22"/>
    <row r="23" ht="28" customHeight="1">
      <c r="H23" s="33" t="inlineStr">
        <is>
          <t>Step 1</t>
        </is>
      </c>
      <c r="I23" s="34" t="inlineStr">
        <is>
          <t>Paste your bank statement in 'Bank Statements' sheet under columns A:G (Tran Date, CHQNO, PARTICULARS, DR, CR, BAL, SOL).</t>
        </is>
      </c>
      <c r="J23" s="35" t="n"/>
      <c r="K23" s="35" t="n"/>
    </row>
    <row r="24" ht="28" customHeight="1">
      <c r="H24" s="33" t="inlineStr">
        <is>
          <t>Step 2</t>
        </is>
      </c>
      <c r="I24" s="34" t="inlineStr">
        <is>
          <t>Columns H:M automatically detect transaction type, match keywords, and categorize your transactions instantly.</t>
        </is>
      </c>
      <c r="J24" s="35" t="n"/>
      <c r="K24" s="35" t="n"/>
    </row>
    <row r="25" ht="28" customHeight="1">
      <c r="H25" s="33" t="inlineStr">
        <is>
          <t>Step 3</t>
        </is>
      </c>
      <c r="I25" s="34" t="inlineStr">
        <is>
          <t>If a transaction needs manual adjustment, simply select or type the category in Column J ('Override Category').</t>
        </is>
      </c>
      <c r="J25" s="35" t="n"/>
      <c r="K25" s="35" t="n"/>
    </row>
    <row r="26" ht="28" customHeight="1">
      <c r="H26" s="33" t="inlineStr">
        <is>
          <t>Step 4</t>
        </is>
      </c>
      <c r="I26" s="34" t="inlineStr">
        <is>
          <t>Check 'Budget vs Actual' to see real-time over-budget warnings, burn rate %, and cash buffer balance.</t>
        </is>
      </c>
      <c r="J26" s="35" t="n"/>
      <c r="K26" s="35" t="n"/>
    </row>
    <row r="27" ht="28" customHeight="1">
      <c r="H27" s="33" t="inlineStr">
        <is>
          <t>Step 5</t>
        </is>
      </c>
      <c r="I27" s="34" t="inlineStr">
        <is>
          <t>To modify your income, PG rent, SIP, or buffer limits, edit the values in 'Master Budget'. All formulas update automatically!</t>
        </is>
      </c>
      <c r="J27" s="35" t="n"/>
      <c r="K27" s="35" t="n"/>
    </row>
  </sheetData>
  <mergeCells count="21">
    <mergeCell ref="J5:K5"/>
    <mergeCell ref="H21:K22"/>
    <mergeCell ref="A6:B6"/>
    <mergeCell ref="D6:E6"/>
    <mergeCell ref="I24:K24"/>
    <mergeCell ref="A7:B7"/>
    <mergeCell ref="G7:H7"/>
    <mergeCell ref="J6:K6"/>
    <mergeCell ref="I23:K23"/>
    <mergeCell ref="G6:H6"/>
    <mergeCell ref="A20:F20"/>
    <mergeCell ref="D7:E7"/>
    <mergeCell ref="J7:K7"/>
    <mergeCell ref="A5:B5"/>
    <mergeCell ref="G5:H5"/>
    <mergeCell ref="A9:F9"/>
    <mergeCell ref="A1:K2"/>
    <mergeCell ref="I27:K27"/>
    <mergeCell ref="D5:E5"/>
    <mergeCell ref="I26:K26"/>
    <mergeCell ref="I25:K2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20" customWidth="1" min="3" max="3"/>
    <col width="18" customWidth="1" min="4" max="4"/>
    <col width="18" customWidth="1" min="5" max="5"/>
    <col width="65" customWidth="1" min="6" max="6"/>
  </cols>
  <sheetData>
    <row r="1" ht="28" customHeight="1">
      <c r="A1" s="1" t="inlineStr">
        <is>
          <t>🎯 Master Financial Budget &amp; Allocation Model</t>
        </is>
      </c>
    </row>
    <row r="2" ht="20" customHeight="1"/>
    <row r="3">
      <c r="A3" s="2" t="inlineStr">
        <is>
          <t>💡 Note: Edit amounts in Column C. Formulas automatically update percentages, totals, variance checks, and dashboard charts.</t>
        </is>
      </c>
    </row>
    <row r="5">
      <c r="A5" s="19" t="inlineStr">
        <is>
          <t>1. MONTHLY INCOME SOURCES</t>
        </is>
      </c>
    </row>
    <row r="6">
      <c r="A6" s="36" t="inlineStr">
        <is>
          <t>Category / Line Item</t>
        </is>
      </c>
      <c r="B6" s="37" t="inlineStr">
        <is>
          <t>Type</t>
        </is>
      </c>
      <c r="C6" s="38" t="inlineStr">
        <is>
          <t>Monthly Amount (₹)</t>
        </is>
      </c>
      <c r="D6" s="37" t="inlineStr">
        <is>
          <t>% of Total Funds</t>
        </is>
      </c>
      <c r="E6" s="38" t="inlineStr">
        <is>
          <t>Target Cap (₹)</t>
        </is>
      </c>
      <c r="F6" s="36" t="inlineStr">
        <is>
          <t>Notes &amp; Strategy</t>
        </is>
      </c>
    </row>
    <row r="7">
      <c r="A7" s="39" t="inlineStr">
        <is>
          <t>Internship Stipend</t>
        </is>
      </c>
      <c r="B7" s="40" t="inlineStr">
        <is>
          <t>Income</t>
        </is>
      </c>
      <c r="C7" s="41" t="n">
        <v>25000</v>
      </c>
      <c r="D7" s="42">
        <f>C7/$C$9</f>
        <v/>
      </c>
      <c r="E7" s="41" t="n">
        <v>25000</v>
      </c>
      <c r="F7" s="39" t="inlineStr">
        <is>
          <t>Primary monthly earning from Sigma Soft Tech Park internship.</t>
        </is>
      </c>
    </row>
    <row r="8">
      <c r="A8" s="39" t="inlineStr">
        <is>
          <t>Family Support</t>
        </is>
      </c>
      <c r="B8" s="40" t="inlineStr">
        <is>
          <t>Income</t>
        </is>
      </c>
      <c r="C8" s="41" t="n">
        <v>6000</v>
      </c>
      <c r="D8" s="42">
        <f>C8/$C$9</f>
        <v/>
      </c>
      <c r="E8" s="41" t="n">
        <v>6000</v>
      </c>
      <c r="F8" s="39" t="inlineStr">
        <is>
          <t>Supplementary monthly family contribution.</t>
        </is>
      </c>
    </row>
    <row r="9">
      <c r="A9" s="43" t="inlineStr">
        <is>
          <t>Total Monthly Cash Flow</t>
        </is>
      </c>
      <c r="B9" s="44" t="inlineStr">
        <is>
          <t>Total Inflow</t>
        </is>
      </c>
      <c r="C9" s="45">
        <f>SUM(C7:C8)</f>
        <v/>
      </c>
      <c r="D9" s="46">
        <f>C9/C9</f>
        <v/>
      </c>
      <c r="E9" s="45">
        <f>SUM(E7:E8)</f>
        <v/>
      </c>
      <c r="F9" s="43" t="inlineStr">
        <is>
          <t>Combined available liquid funds.</t>
        </is>
      </c>
    </row>
    <row r="11">
      <c r="A11" s="31" t="inlineStr">
        <is>
          <t>2. PLANNED MONTHLY ALLOCATIONS &amp; EXPENSES (Budget Distribution)</t>
        </is>
      </c>
    </row>
    <row r="12">
      <c r="A12" s="47" t="inlineStr">
        <is>
          <t>Category / Line Item</t>
        </is>
      </c>
      <c r="B12" s="48" t="inlineStr">
        <is>
          <t>Type</t>
        </is>
      </c>
      <c r="C12" s="49" t="inlineStr">
        <is>
          <t>Monthly Amount (₹)</t>
        </is>
      </c>
      <c r="D12" s="48" t="inlineStr">
        <is>
          <t>% of Total Funds</t>
        </is>
      </c>
      <c r="E12" s="49" t="inlineStr">
        <is>
          <t>Target Cap (₹)</t>
        </is>
      </c>
      <c r="F12" s="47" t="inlineStr">
        <is>
          <t>Notes &amp; Strategy</t>
        </is>
      </c>
    </row>
    <row r="13">
      <c r="A13" s="39" t="inlineStr">
        <is>
          <t>PG Rent &amp; Covered Meals</t>
        </is>
      </c>
      <c r="B13" s="40" t="inlineStr">
        <is>
          <t>Living Expense</t>
        </is>
      </c>
      <c r="C13" s="41" t="n">
        <v>14000</v>
      </c>
      <c r="D13" s="42">
        <f>C13/$C$9</f>
        <v/>
      </c>
      <c r="E13" s="41" t="n">
        <v>14000</v>
      </c>
      <c r="F13" s="39" t="inlineStr">
        <is>
          <t>Breakfast &amp; dinner daily, Saturday full meals, Sunday breakfast.</t>
        </is>
      </c>
    </row>
    <row r="14">
      <c r="A14" s="50" t="inlineStr">
        <is>
          <t>Daily Office Lunch (Mon–Sat)</t>
        </is>
      </c>
      <c r="B14" s="51" t="inlineStr">
        <is>
          <t>Food &amp; Dining</t>
        </is>
      </c>
      <c r="C14" s="52" t="n">
        <v>3250</v>
      </c>
      <c r="D14" s="53">
        <f>C14/$C$9</f>
        <v/>
      </c>
      <c r="E14" s="52" t="n">
        <v>3500</v>
      </c>
      <c r="F14" s="50" t="inlineStr">
        <is>
          <t>26 working days @ ₹100–150/day in/near Sigma Soft Tech Park.</t>
        </is>
      </c>
    </row>
    <row r="15">
      <c r="A15" s="39" t="inlineStr">
        <is>
          <t>BMTC Bus Commute</t>
        </is>
      </c>
      <c r="B15" s="40" t="inlineStr">
        <is>
          <t>Transport</t>
        </is>
      </c>
      <c r="C15" s="41" t="n">
        <v>1000</v>
      </c>
      <c r="D15" s="42">
        <f>C15/$C$9</f>
        <v/>
      </c>
      <c r="E15" s="41" t="n">
        <v>1200</v>
      </c>
      <c r="F15" s="39" t="inlineStr">
        <is>
          <t>Daily bus fares between Varthur Kodi and Kundalahalli Gate.</t>
        </is>
      </c>
    </row>
    <row r="16">
      <c r="A16" s="50" t="inlineStr">
        <is>
          <t>Lifestyle &amp; Personal Essentials</t>
        </is>
      </c>
      <c r="B16" s="51" t="inlineStr">
        <is>
          <t>Personal &amp; Bills</t>
        </is>
      </c>
      <c r="C16" s="52" t="n">
        <v>3500</v>
      </c>
      <c r="D16" s="53">
        <f>C16/$C$9</f>
        <v/>
      </c>
      <c r="E16" s="52" t="n">
        <v>4000</v>
      </c>
      <c r="F16" s="50" t="inlineStr">
        <is>
          <t>Sunday meals, mobile recharge, toiletries, laundry supplies.</t>
        </is>
      </c>
    </row>
    <row r="17">
      <c r="A17" s="39" t="inlineStr">
        <is>
          <t>Emergency Fund Allocation</t>
        </is>
      </c>
      <c r="B17" s="40" t="inlineStr">
        <is>
          <t>Savings Reserve</t>
        </is>
      </c>
      <c r="C17" s="41" t="n">
        <v>2750</v>
      </c>
      <c r="D17" s="42">
        <f>C17/$C$9</f>
        <v/>
      </c>
      <c r="E17" s="41" t="n">
        <v>3000</v>
      </c>
      <c r="F17" s="39" t="inlineStr">
        <is>
          <t>Built up monthly in liquid bank savings for safety buffer.</t>
        </is>
      </c>
    </row>
    <row r="18">
      <c r="A18" s="50" t="inlineStr">
        <is>
          <t>Monthly SIP Investment</t>
        </is>
      </c>
      <c r="B18" s="51" t="inlineStr">
        <is>
          <t>Wealth Creation</t>
        </is>
      </c>
      <c r="C18" s="52" t="n">
        <v>5500</v>
      </c>
      <c r="D18" s="53">
        <f>C18/$C$9</f>
        <v/>
      </c>
      <c r="E18" s="52" t="n">
        <v>5500</v>
      </c>
      <c r="F18" s="50" t="inlineStr">
        <is>
          <t>Capped fixed wealth-building auto-investment in Mutual Funds.</t>
        </is>
      </c>
    </row>
    <row r="19">
      <c r="A19" s="39" t="inlineStr">
        <is>
          <t>Unallocated Flex Buffer</t>
        </is>
      </c>
      <c r="B19" s="40" t="inlineStr">
        <is>
          <t>Cash Buffer</t>
        </is>
      </c>
      <c r="C19" s="41" t="n">
        <v>1000</v>
      </c>
      <c r="D19" s="42">
        <f>C19/$C$9</f>
        <v/>
      </c>
      <c r="E19" s="41" t="n">
        <v>1000</v>
      </c>
      <c r="F19" s="39" t="inlineStr">
        <is>
          <t>Extra cash left untouched in your bank account for unexpected needs.</t>
        </is>
      </c>
    </row>
    <row r="20">
      <c r="A20" s="43" t="inlineStr">
        <is>
          <t>Total Planned Monthly Allocations</t>
        </is>
      </c>
      <c r="B20" s="44" t="inlineStr">
        <is>
          <t>Total Outflow</t>
        </is>
      </c>
      <c r="C20" s="45">
        <f>SUM(C13:C19)</f>
        <v/>
      </c>
      <c r="D20" s="46">
        <f>C20/$C$9</f>
        <v/>
      </c>
      <c r="E20" s="45">
        <f>SUM(E13:E19)</f>
        <v/>
      </c>
      <c r="F20" s="43" t="inlineStr">
        <is>
          <t>100% Budget allocation aligned with income.</t>
        </is>
      </c>
    </row>
    <row r="22">
      <c r="A22" s="54" t="inlineStr">
        <is>
          <t>Zero-Based Budget Balance Check:</t>
        </is>
      </c>
      <c r="C22" s="55">
        <f>C9-C20</f>
        <v/>
      </c>
      <c r="D22" s="56">
        <f>IF(C22=0, "✅ Perfectly Balanced (₹0 Unassigned)", "⚠️ Unbalanced Allocation")</f>
        <v/>
      </c>
    </row>
  </sheetData>
  <mergeCells count="3">
    <mergeCell ref="A11:F11"/>
    <mergeCell ref="A5:F5"/>
    <mergeCell ref="A1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70" customWidth="1" min="3" max="3"/>
    <col width="12" customWidth="1" min="4" max="4"/>
    <col width="45" customWidth="1" min="5" max="5"/>
  </cols>
  <sheetData>
    <row r="1" ht="28" customHeight="1">
      <c r="A1" s="1" t="inlineStr">
        <is>
          <t>⚙️ Auto-Categorization Rules &amp; Keyword Matching Engine</t>
        </is>
      </c>
    </row>
    <row r="2" ht="20" customHeight="1"/>
    <row r="3">
      <c r="A3" s="2" t="inlineStr">
        <is>
          <t>This dictionary drives automated sorting of your statement particulars. You can add more keywords anytime!</t>
        </is>
      </c>
    </row>
    <row r="5">
      <c r="A5" s="57" t="inlineStr">
        <is>
          <t>Master Category</t>
        </is>
      </c>
      <c r="B5" s="58" t="inlineStr">
        <is>
          <t>Type</t>
        </is>
      </c>
      <c r="C5" s="57" t="inlineStr">
        <is>
          <t>Keywords (Comma Separated)</t>
        </is>
      </c>
      <c r="D5" s="58" t="inlineStr">
        <is>
          <t>Priority</t>
        </is>
      </c>
      <c r="E5" s="57" t="inlineStr">
        <is>
          <t>Example Merchants / Narrations</t>
        </is>
      </c>
    </row>
    <row r="6">
      <c r="A6" s="50" t="inlineStr">
        <is>
          <t>Internship Stipend</t>
        </is>
      </c>
      <c r="B6" s="51" t="inlineStr">
        <is>
          <t>Income</t>
        </is>
      </c>
      <c r="C6" s="50" t="inlineStr">
        <is>
          <t>STIPEND, SIGMA, SIGMASOFT, SALARY, PAYROLL, TECH PARK</t>
        </is>
      </c>
      <c r="D6" s="51" t="inlineStr">
        <is>
          <t>High</t>
        </is>
      </c>
      <c r="E6" s="50" t="inlineStr">
        <is>
          <t>SIGMA TECH PARK STIPEND OCT, NEFT-SIGMASOFT</t>
        </is>
      </c>
    </row>
    <row r="7">
      <c r="A7" s="39" t="inlineStr">
        <is>
          <t>Family Support</t>
        </is>
      </c>
      <c r="B7" s="40" t="inlineStr">
        <is>
          <t>Income</t>
        </is>
      </c>
      <c r="C7" s="39" t="inlineStr">
        <is>
          <t>FAMILY, PAPA, MOM, FATHER, MOTHER, PARENT, HOME</t>
        </is>
      </c>
      <c r="D7" s="40" t="inlineStr">
        <is>
          <t>High</t>
        </is>
      </c>
      <c r="E7" s="39" t="inlineStr">
        <is>
          <t>UPI-FATHER TRANSFER, IMPS-MOM-SUPPORT</t>
        </is>
      </c>
    </row>
    <row r="8">
      <c r="A8" s="50" t="inlineStr">
        <is>
          <t>PG Rent &amp; Covered Meals</t>
        </is>
      </c>
      <c r="B8" s="51" t="inlineStr">
        <is>
          <t>Expense</t>
        </is>
      </c>
      <c r="C8" s="50" t="inlineStr">
        <is>
          <t>PG, RENT, LANDLORD, STAY, ZOLO, STANZA, ROOM, HOSTEL, ACCOMMODATION</t>
        </is>
      </c>
      <c r="D8" s="51" t="inlineStr">
        <is>
          <t>High</t>
        </is>
      </c>
      <c r="E8" s="50" t="inlineStr">
        <is>
          <t>UPI-PG-OWNER-RENT, ZOLO STAY NOV RENT</t>
        </is>
      </c>
    </row>
    <row r="9">
      <c r="A9" s="39" t="inlineStr">
        <is>
          <t>Daily Office Lunch (Mon–Sat)</t>
        </is>
      </c>
      <c r="B9" s="40" t="inlineStr">
        <is>
          <t>Expense</t>
        </is>
      </c>
      <c r="C9" s="39" t="inlineStr">
        <is>
          <t>SWIGGY, ZOMATO, CANTEEN, CAFETERIA, CHAI, EATS, LUNCH, FOOD, MCDONALD, KFC, DOMINOS, SUBWAY, TACO, RESTAURANT, DHABA, MESS, BIRYANI</t>
        </is>
      </c>
      <c r="D9" s="40" t="inlineStr">
        <is>
          <t>Medium</t>
        </is>
      </c>
      <c r="E9" s="39" t="inlineStr">
        <is>
          <t>UPI-SWIGGY-BANGALORE, SIGMA FOOD COURT, CHAI POINT</t>
        </is>
      </c>
    </row>
    <row r="10">
      <c r="A10" s="50" t="inlineStr">
        <is>
          <t>BMTC Bus Commute</t>
        </is>
      </c>
      <c r="B10" s="51" t="inlineStr">
        <is>
          <t>Expense</t>
        </is>
      </c>
      <c r="C10" s="50" t="inlineStr">
        <is>
          <t>BMTC, BUS, TICKET, NCMC, CHALO, METRO, BMRCL, CONDUCTOR, PASS, KUNDALAHALLI, VARTHUR</t>
        </is>
      </c>
      <c r="D10" s="51" t="inlineStr">
        <is>
          <t>High</t>
        </is>
      </c>
      <c r="E10" s="50" t="inlineStr">
        <is>
          <t>BMTC BUS PASS V-GATE, UPI-BMTC-TICKETING</t>
        </is>
      </c>
    </row>
    <row r="11">
      <c r="A11" s="39" t="inlineStr">
        <is>
          <t>Lifestyle &amp; Personal Essentials</t>
        </is>
      </c>
      <c r="B11" s="40" t="inlineStr">
        <is>
          <t>Expense</t>
        </is>
      </c>
      <c r="C11" s="39" t="inlineStr">
        <is>
          <t>AMAZON, FLIPKART, BLINKIT, ZEPTO, INSTAMART, RECHARGE, JIO, AIRTEL, VI, PHARMACY, APOLLO, 1MG, MEDPLUS, SUPERMARKET, DMART, LAUNDRY, SALON, BARBER</t>
        </is>
      </c>
      <c r="D11" s="40" t="inlineStr">
        <is>
          <t>Medium</t>
        </is>
      </c>
      <c r="E11" s="39" t="inlineStr">
        <is>
          <t>UPI-BLINKIT-GROCERY, JIO PREPAID RECHARGE, APOLLO PHARMACY</t>
        </is>
      </c>
    </row>
    <row r="12">
      <c r="A12" s="50" t="inlineStr">
        <is>
          <t>Monthly SIP Investment</t>
        </is>
      </c>
      <c r="B12" s="51" t="inlineStr">
        <is>
          <t>Investment</t>
        </is>
      </c>
      <c r="C12" s="50" t="inlineStr">
        <is>
          <t>GROWW, ZERODHA, KITE, MUTUAL, MF, SIP, NIPPON, HDFC MF, UTI, PARAG, COIN, INDMONEY, CAMSONLINE, BSE, NSE, CDSL</t>
        </is>
      </c>
      <c r="D12" s="51" t="inlineStr">
        <is>
          <t>High</t>
        </is>
      </c>
      <c r="E12" s="50" t="inlineStr">
        <is>
          <t>ACH-GROWW-SIP, BSE-MUTUAL-FUND-AUTO, ZERODHA BROKING</t>
        </is>
      </c>
    </row>
    <row r="13">
      <c r="A13" s="39" t="inlineStr">
        <is>
          <t>Emergency Fund Allocation</t>
        </is>
      </c>
      <c r="B13" s="40" t="inlineStr">
        <is>
          <t>Savings</t>
        </is>
      </c>
      <c r="C13" s="39" t="inlineStr">
        <is>
          <t>EMERGENCY, AUTO SWEEP, FD, FIXED DEP, RESERVE, SAVINGS XFER, LIQUID FUND</t>
        </is>
      </c>
      <c r="D13" s="40" t="inlineStr">
        <is>
          <t>Medium</t>
        </is>
      </c>
      <c r="E13" s="39" t="inlineStr">
        <is>
          <t>SWEEP TO LIQUID SAVINGS, FD CREATION</t>
        </is>
      </c>
    </row>
    <row r="14">
      <c r="A14" s="50" t="inlineStr">
        <is>
          <t>Unallocated Flex Buffer</t>
        </is>
      </c>
      <c r="B14" s="51" t="inlineStr">
        <is>
          <t>Buffer</t>
        </is>
      </c>
      <c r="C14" s="50" t="inlineStr">
        <is>
          <t>ATM, CASH, MISC, BUFFER, CONTINGENCY</t>
        </is>
      </c>
      <c r="D14" s="51" t="inlineStr">
        <is>
          <t>Low</t>
        </is>
      </c>
      <c r="E14" s="50" t="inlineStr">
        <is>
          <t>ATM CASH WITHDRAWAL, MISC LOCAL UPI</t>
        </is>
      </c>
    </row>
  </sheetData>
  <mergeCells count="1">
    <mergeCell ref="A1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48" customWidth="1" min="3" max="3"/>
    <col width="16" customWidth="1" min="4" max="4"/>
    <col width="16" customWidth="1" min="5" max="5"/>
    <col width="16" customWidth="1" min="6" max="6"/>
    <col width="10" customWidth="1" min="7" max="7"/>
    <col width="12" customWidth="1" min="8" max="8"/>
    <col width="30" customWidth="1" min="9" max="9"/>
    <col width="28" customWidth="1" min="10" max="10"/>
    <col width="30" customWidth="1" min="11" max="11"/>
    <col width="14" customWidth="1" min="12" max="12"/>
    <col width="26" customWidth="1" min="13" max="13"/>
  </cols>
  <sheetData>
    <row r="1" ht="28" customHeight="1">
      <c r="A1" s="1" t="inlineStr">
        <is>
          <t>📑 Bank Statement Ingestion &amp; Automated Transaction Ledger</t>
        </is>
      </c>
    </row>
    <row r="2" ht="20" customHeight="1"/>
    <row r="3">
      <c r="A3" s="2" t="inlineStr">
        <is>
          <t>📋 Instructions: Paste your bank statement in columns A to G. Columns H to M automatically categorize, detect transaction type, and flag budget impacts!</t>
        </is>
      </c>
    </row>
    <row r="5">
      <c r="A5" s="37" t="inlineStr">
        <is>
          <t>Tran Date</t>
        </is>
      </c>
      <c r="B5" s="37" t="inlineStr">
        <is>
          <t>CHQNO</t>
        </is>
      </c>
      <c r="C5" s="36" t="inlineStr">
        <is>
          <t>PARTICULARS</t>
        </is>
      </c>
      <c r="D5" s="59" t="inlineStr">
        <is>
          <t>DR</t>
        </is>
      </c>
      <c r="E5" s="60" t="inlineStr">
        <is>
          <t>CR</t>
        </is>
      </c>
      <c r="F5" s="38" t="inlineStr">
        <is>
          <t>BAL</t>
        </is>
      </c>
      <c r="G5" s="37" t="inlineStr">
        <is>
          <t>SOL</t>
        </is>
      </c>
      <c r="H5" s="58" t="inlineStr">
        <is>
          <t>Txn Type</t>
        </is>
      </c>
      <c r="I5" s="47" t="inlineStr">
        <is>
          <t>Auto Category</t>
        </is>
      </c>
      <c r="J5" s="61" t="inlineStr">
        <is>
          <t>Override Category (Optional)</t>
        </is>
      </c>
      <c r="K5" s="20" t="inlineStr">
        <is>
          <t>Final Category</t>
        </is>
      </c>
      <c r="L5" s="22" t="inlineStr">
        <is>
          <t>Month</t>
        </is>
      </c>
      <c r="M5" s="22" t="inlineStr">
        <is>
          <t>Spend Warning / Tag</t>
        </is>
      </c>
    </row>
    <row r="6">
      <c r="A6" s="40" t="inlineStr">
        <is>
          <t>01-10-2026</t>
        </is>
      </c>
      <c r="B6" s="40" t="inlineStr">
        <is>
          <t>SAL982104</t>
        </is>
      </c>
      <c r="C6" s="62" t="inlineStr">
        <is>
          <t>NEFT CR-SIGMA SOFT TECH PARK-STIPEND FOR OCT</t>
        </is>
      </c>
      <c r="D6" s="41" t="inlineStr"/>
      <c r="E6" s="41" t="n">
        <v>25000</v>
      </c>
      <c r="F6" s="41" t="n">
        <v>28500</v>
      </c>
      <c r="G6" s="40" t="inlineStr">
        <is>
          <t>BLR01</t>
        </is>
      </c>
      <c r="H6" s="26">
        <f>IF(C6="","",IF(E6&gt;0,"INCOME",IF(D6&gt;0,"EXPENSE","NEUTRAL")))</f>
        <v/>
      </c>
      <c r="I6" s="39">
        <f>IF(C6="","",=IF(OR(ISNUMBER(SEARCH("STIPEND",C6)),ISNUMBER(SEARCH("SIGMASOFT",C6)),ISNUMBER(SEARCH("SALARY",C6))),"Internship Stipend",IF(OR(ISNUMBER(SEARCH("FAMILY",C6)),ISNUMBER(SEARCH("PAPA",C6)),ISNUMBER(SEARCH("MOM",C6)),ISNUMBER(SEARCH("FATHER",C6))),"Family Support",IF(OR(ISNUMBER(SEARCH("PG",C6)),ISNUMBER(SEARCH("RENT",C6)),ISNUMBER(SEARCH("STANZA",C6)),ISNUMBER(SEARCH("ZOLO",C6))),"PG Rent &amp; Covered Meals",IF(OR(ISNUMBER(SEARCH("GROWW",C6)),ISNUMBER(SEARCH("ZERODHA",C6)),ISNUMBER(SEARCH("MUTUAL",C6)),ISNUMBER(SEARCH("SIP",C6)),ISNUMBER(SEARCH("NIPPON",C6))),"Monthly SIP Investment",IF(OR(ISNUMBER(SEARCH("BMTC",C6)),ISNUMBER(SEARCH("BUS",C6)),ISNUMBER(SEARCH("METRO",C6)),ISNUMBER(SEARCH("CHALO",C6))),"BMTC Bus Commute",IF(OR(ISNUMBER(SEARCH("SWIGGY",C6)),ISNUMBER(SEARCH("ZOMATO",C6)),ISNUMBER(SEARCH("CANTEEN",C6)),ISNUMBER(SEARCH("LUNCH",C6)),ISNUMBER(SEARCH("FOOD",C6)),ISNUMBER(SEARCH("SUBWAY",C6))),"Daily Office Lunch (Mon–Sat)",IF(OR(ISNUMBER(SEARCH("BLINKIT",C6)),ISNUMBER(SEARCH("ZEPTO",C6)),ISNUMBER(SEARCH("RECHARGE",C6)),ISNUMBER(SEARCH("JIO",C6)),ISNUMBER(SEARCH("AIRTEL",C6)),ISNUMBER(SEARCH("PHARMACY",C6)),ISNUMBER(SEARCH("APOLLO",C6)),ISNUMBER(SEARCH("ESSENTIALS",C6)),ISNUMBER(SEARCH("LIFESTYLE",C6))),"Lifestyle &amp; Personal Essentials",IF(OR(ISNUMBER(SEARCH("EMERGENCY",C6)),ISNUMBER(SEARCH("SWEEP",C6)),ISNUMBER(SEARCH("RESERVE",C6))),"Emergency Fund Allocation","Unallocated Flex Buffer")))))))))</f>
        <v/>
      </c>
      <c r="J6" s="39" t="inlineStr"/>
      <c r="K6" s="23">
        <f>IF(C6="","",IF(J6&lt;&gt;"",J6,I6))</f>
        <v/>
      </c>
      <c r="L6" s="40">
        <f>IF(A6="","",IF(ISNUMBER(A6),TEXT(A6,"mmm-yyyy"),"Oct-2026"))</f>
        <v/>
      </c>
      <c r="M6" s="40">
        <f>IF(D6&gt;=5000,"🚨 High Value Debit (₹"&amp;TEXT(D6,"#,##0")&amp;")",IF(D6&gt;=1000,"⚡ Notable Expense","—"))</f>
        <v/>
      </c>
    </row>
    <row r="7">
      <c r="A7" s="40" t="inlineStr">
        <is>
          <t>02-10-2026</t>
        </is>
      </c>
      <c r="B7" s="40" t="inlineStr">
        <is>
          <t>UPI481023</t>
        </is>
      </c>
      <c r="C7" s="62" t="inlineStr">
        <is>
          <t>UPI/PAPA/FAMILY MONTHLY SUPPORT/SBIN0029</t>
        </is>
      </c>
      <c r="D7" s="41" t="inlineStr"/>
      <c r="E7" s="41" t="n">
        <v>6000</v>
      </c>
      <c r="F7" s="41" t="n">
        <v>34500</v>
      </c>
      <c r="G7" s="40" t="inlineStr">
        <is>
          <t>DEL04</t>
        </is>
      </c>
      <c r="H7" s="26">
        <f>IF(C7="","",IF(E7&gt;0,"INCOME",IF(D7&gt;0,"EXPENSE","NEUTRAL")))</f>
        <v/>
      </c>
      <c r="I7" s="39">
        <f>IF(C7="","",=IF(OR(ISNUMBER(SEARCH("STIPEND",C7)),ISNUMBER(SEARCH("SIGMASOFT",C7)),ISNUMBER(SEARCH("SALARY",C7))),"Internship Stipend",IF(OR(ISNUMBER(SEARCH("FAMILY",C7)),ISNUMBER(SEARCH("PAPA",C7)),ISNUMBER(SEARCH("MOM",C7)),ISNUMBER(SEARCH("FATHER",C7))),"Family Support",IF(OR(ISNUMBER(SEARCH("PG",C7)),ISNUMBER(SEARCH("RENT",C7)),ISNUMBER(SEARCH("STANZA",C7)),ISNUMBER(SEARCH("ZOLO",C7))),"PG Rent &amp; Covered Meals",IF(OR(ISNUMBER(SEARCH("GROWW",C7)),ISNUMBER(SEARCH("ZERODHA",C7)),ISNUMBER(SEARCH("MUTUAL",C7)),ISNUMBER(SEARCH("SIP",C7)),ISNUMBER(SEARCH("NIPPON",C7))),"Monthly SIP Investment",IF(OR(ISNUMBER(SEARCH("BMTC",C7)),ISNUMBER(SEARCH("BUS",C7)),ISNUMBER(SEARCH("METRO",C7)),ISNUMBER(SEARCH("CHALO",C7))),"BMTC Bus Commute",IF(OR(ISNUMBER(SEARCH("SWIGGY",C7)),ISNUMBER(SEARCH("ZOMATO",C7)),ISNUMBER(SEARCH("CANTEEN",C7)),ISNUMBER(SEARCH("LUNCH",C7)),ISNUMBER(SEARCH("FOOD",C7)),ISNUMBER(SEARCH("SUBWAY",C7))),"Daily Office Lunch (Mon–Sat)",IF(OR(ISNUMBER(SEARCH("BLINKIT",C7)),ISNUMBER(SEARCH("ZEPTO",C7)),ISNUMBER(SEARCH("RECHARGE",C7)),ISNUMBER(SEARCH("JIO",C7)),ISNUMBER(SEARCH("AIRTEL",C7)),ISNUMBER(SEARCH("PHARMACY",C7)),ISNUMBER(SEARCH("APOLLO",C7)),ISNUMBER(SEARCH("ESSENTIALS",C7)),ISNUMBER(SEARCH("LIFESTYLE",C7))),"Lifestyle &amp; Personal Essentials",IF(OR(ISNUMBER(SEARCH("EMERGENCY",C7)),ISNUMBER(SEARCH("SWEEP",C7)),ISNUMBER(SEARCH("RESERVE",C7))),"Emergency Fund Allocation","Unallocated Flex Buffer")))))))))</f>
        <v/>
      </c>
      <c r="J7" s="39" t="inlineStr"/>
      <c r="K7" s="23">
        <f>IF(C7="","",IF(J7&lt;&gt;"",J7,I7))</f>
        <v/>
      </c>
      <c r="L7" s="40">
        <f>IF(A7="","",IF(ISNUMBER(A7),TEXT(A7,"mmm-yyyy"),"Oct-2026"))</f>
        <v/>
      </c>
      <c r="M7" s="40">
        <f>IF(D7&gt;=5000,"🚨 High Value Debit (₹"&amp;TEXT(D7,"#,##0")&amp;")",IF(D7&gt;=1000,"⚡ Notable Expense","—"))</f>
        <v/>
      </c>
    </row>
    <row r="8">
      <c r="A8" s="40" t="inlineStr">
        <is>
          <t>02-10-2026</t>
        </is>
      </c>
      <c r="B8" s="40" t="inlineStr">
        <is>
          <t>CHQ000182</t>
        </is>
      </c>
      <c r="C8" s="62" t="inlineStr">
        <is>
          <t>CHQ PAID-STANZA LIVING PG RENT &amp; MEALS OCT</t>
        </is>
      </c>
      <c r="D8" s="41" t="n">
        <v>14000</v>
      </c>
      <c r="E8" s="41" t="inlineStr"/>
      <c r="F8" s="41" t="n">
        <v>20500</v>
      </c>
      <c r="G8" s="40" t="inlineStr">
        <is>
          <t>BLR01</t>
        </is>
      </c>
      <c r="H8" s="26">
        <f>IF(C8="","",IF(E8&gt;0,"INCOME",IF(D8&gt;0,"EXPENSE","NEUTRAL")))</f>
        <v/>
      </c>
      <c r="I8" s="39">
        <f>IF(C8="","",=IF(OR(ISNUMBER(SEARCH("STIPEND",C8)),ISNUMBER(SEARCH("SIGMASOFT",C8)),ISNUMBER(SEARCH("SALARY",C8))),"Internship Stipend",IF(OR(ISNUMBER(SEARCH("FAMILY",C8)),ISNUMBER(SEARCH("PAPA",C8)),ISNUMBER(SEARCH("MOM",C8)),ISNUMBER(SEARCH("FATHER",C8))),"Family Support",IF(OR(ISNUMBER(SEARCH("PG",C8)),ISNUMBER(SEARCH("RENT",C8)),ISNUMBER(SEARCH("STANZA",C8)),ISNUMBER(SEARCH("ZOLO",C8))),"PG Rent &amp; Covered Meals",IF(OR(ISNUMBER(SEARCH("GROWW",C8)),ISNUMBER(SEARCH("ZERODHA",C8)),ISNUMBER(SEARCH("MUTUAL",C8)),ISNUMBER(SEARCH("SIP",C8)),ISNUMBER(SEARCH("NIPPON",C8))),"Monthly SIP Investment",IF(OR(ISNUMBER(SEARCH("BMTC",C8)),ISNUMBER(SEARCH("BUS",C8)),ISNUMBER(SEARCH("METRO",C8)),ISNUMBER(SEARCH("CHALO",C8))),"BMTC Bus Commute",IF(OR(ISNUMBER(SEARCH("SWIGGY",C8)),ISNUMBER(SEARCH("ZOMATO",C8)),ISNUMBER(SEARCH("CANTEEN",C8)),ISNUMBER(SEARCH("LUNCH",C8)),ISNUMBER(SEARCH("FOOD",C8)),ISNUMBER(SEARCH("SUBWAY",C8))),"Daily Office Lunch (Mon–Sat)",IF(OR(ISNUMBER(SEARCH("BLINKIT",C8)),ISNUMBER(SEARCH("ZEPTO",C8)),ISNUMBER(SEARCH("RECHARGE",C8)),ISNUMBER(SEARCH("JIO",C8)),ISNUMBER(SEARCH("AIRTEL",C8)),ISNUMBER(SEARCH("PHARMACY",C8)),ISNUMBER(SEARCH("APOLLO",C8)),ISNUMBER(SEARCH("ESSENTIALS",C8)),ISNUMBER(SEARCH("LIFESTYLE",C8))),"Lifestyle &amp; Personal Essentials",IF(OR(ISNUMBER(SEARCH("EMERGENCY",C8)),ISNUMBER(SEARCH("SWEEP",C8)),ISNUMBER(SEARCH("RESERVE",C8))),"Emergency Fund Allocation","Unallocated Flex Buffer")))))))))</f>
        <v/>
      </c>
      <c r="J8" s="39" t="inlineStr"/>
      <c r="K8" s="23">
        <f>IF(C8="","",IF(J8&lt;&gt;"",J8,I8))</f>
        <v/>
      </c>
      <c r="L8" s="40">
        <f>IF(A8="","",IF(ISNUMBER(A8),TEXT(A8,"mmm-yyyy"),"Oct-2026"))</f>
        <v/>
      </c>
      <c r="M8" s="40">
        <f>IF(D8&gt;=5000,"🚨 High Value Debit (₹"&amp;TEXT(D8,"#,##0")&amp;")",IF(D8&gt;=1000,"⚡ Notable Expense","—"))</f>
        <v/>
      </c>
    </row>
    <row r="9">
      <c r="A9" s="40" t="inlineStr">
        <is>
          <t>03-10-2026</t>
        </is>
      </c>
      <c r="B9" s="40" t="inlineStr">
        <is>
          <t>ACH891204</t>
        </is>
      </c>
      <c r="C9" s="62" t="inlineStr">
        <is>
          <t>ACH DR-GROWW MUTUAL FUND NIPPON SMALL CAP SIP</t>
        </is>
      </c>
      <c r="D9" s="41" t="n">
        <v>3000</v>
      </c>
      <c r="E9" s="41" t="inlineStr"/>
      <c r="F9" s="41" t="n">
        <v>17500</v>
      </c>
      <c r="G9" s="40" t="inlineStr">
        <is>
          <t>MUM02</t>
        </is>
      </c>
      <c r="H9" s="26">
        <f>IF(C9="","",IF(E9&gt;0,"INCOME",IF(D9&gt;0,"EXPENSE","NEUTRAL")))</f>
        <v/>
      </c>
      <c r="I9" s="39">
        <f>IF(C9="","",=IF(OR(ISNUMBER(SEARCH("STIPEND",C9)),ISNUMBER(SEARCH("SIGMASOFT",C9)),ISNUMBER(SEARCH("SALARY",C9))),"Internship Stipend",IF(OR(ISNUMBER(SEARCH("FAMILY",C9)),ISNUMBER(SEARCH("PAPA",C9)),ISNUMBER(SEARCH("MOM",C9)),ISNUMBER(SEARCH("FATHER",C9))),"Family Support",IF(OR(ISNUMBER(SEARCH("PG",C9)),ISNUMBER(SEARCH("RENT",C9)),ISNUMBER(SEARCH("STANZA",C9)),ISNUMBER(SEARCH("ZOLO",C9))),"PG Rent &amp; Covered Meals",IF(OR(ISNUMBER(SEARCH("GROWW",C9)),ISNUMBER(SEARCH("ZERODHA",C9)),ISNUMBER(SEARCH("MUTUAL",C9)),ISNUMBER(SEARCH("SIP",C9)),ISNUMBER(SEARCH("NIPPON",C9))),"Monthly SIP Investment",IF(OR(ISNUMBER(SEARCH("BMTC",C9)),ISNUMBER(SEARCH("BUS",C9)),ISNUMBER(SEARCH("METRO",C9)),ISNUMBER(SEARCH("CHALO",C9))),"BMTC Bus Commute",IF(OR(ISNUMBER(SEARCH("SWIGGY",C9)),ISNUMBER(SEARCH("ZOMATO",C9)),ISNUMBER(SEARCH("CANTEEN",C9)),ISNUMBER(SEARCH("LUNCH",C9)),ISNUMBER(SEARCH("FOOD",C9)),ISNUMBER(SEARCH("SUBWAY",C9))),"Daily Office Lunch (Mon–Sat)",IF(OR(ISNUMBER(SEARCH("BLINKIT",C9)),ISNUMBER(SEARCH("ZEPTO",C9)),ISNUMBER(SEARCH("RECHARGE",C9)),ISNUMBER(SEARCH("JIO",C9)),ISNUMBER(SEARCH("AIRTEL",C9)),ISNUMBER(SEARCH("PHARMACY",C9)),ISNUMBER(SEARCH("APOLLO",C9)),ISNUMBER(SEARCH("ESSENTIALS",C9)),ISNUMBER(SEARCH("LIFESTYLE",C9))),"Lifestyle &amp; Personal Essentials",IF(OR(ISNUMBER(SEARCH("EMERGENCY",C9)),ISNUMBER(SEARCH("SWEEP",C9)),ISNUMBER(SEARCH("RESERVE",C9))),"Emergency Fund Allocation","Unallocated Flex Buffer")))))))))</f>
        <v/>
      </c>
      <c r="J9" s="39" t="inlineStr"/>
      <c r="K9" s="23">
        <f>IF(C9="","",IF(J9&lt;&gt;"",J9,I9))</f>
        <v/>
      </c>
      <c r="L9" s="40">
        <f>IF(A9="","",IF(ISNUMBER(A9),TEXT(A9,"mmm-yyyy"),"Oct-2026"))</f>
        <v/>
      </c>
      <c r="M9" s="40">
        <f>IF(D9&gt;=5000,"🚨 High Value Debit (₹"&amp;TEXT(D9,"#,##0")&amp;")",IF(D9&gt;=1000,"⚡ Notable Expense","—"))</f>
        <v/>
      </c>
    </row>
    <row r="10">
      <c r="A10" s="40" t="inlineStr">
        <is>
          <t>03-10-2026</t>
        </is>
      </c>
      <c r="B10" s="40" t="inlineStr">
        <is>
          <t>ACH891205</t>
        </is>
      </c>
      <c r="C10" s="62" t="inlineStr">
        <is>
          <t>ACH DR-ZERODHA PARAG PARIKH FLEXI CAP SIP</t>
        </is>
      </c>
      <c r="D10" s="41" t="n">
        <v>2500</v>
      </c>
      <c r="E10" s="41" t="inlineStr"/>
      <c r="F10" s="41" t="n">
        <v>15000</v>
      </c>
      <c r="G10" s="40" t="inlineStr">
        <is>
          <t>MUM02</t>
        </is>
      </c>
      <c r="H10" s="26">
        <f>IF(C10="","",IF(E10&gt;0,"INCOME",IF(D10&gt;0,"EXPENSE","NEUTRAL")))</f>
        <v/>
      </c>
      <c r="I10" s="39">
        <f>IF(C10="","",=IF(OR(ISNUMBER(SEARCH("STIPEND",C10)),ISNUMBER(SEARCH("SIGMASOFT",C10)),ISNUMBER(SEARCH("SALARY",C10))),"Internship Stipend",IF(OR(ISNUMBER(SEARCH("FAMILY",C10)),ISNUMBER(SEARCH("PAPA",C10)),ISNUMBER(SEARCH("MOM",C10)),ISNUMBER(SEARCH("FATHER",C10))),"Family Support",IF(OR(ISNUMBER(SEARCH("PG",C10)),ISNUMBER(SEARCH("RENT",C10)),ISNUMBER(SEARCH("STANZA",C10)),ISNUMBER(SEARCH("ZOLO",C10))),"PG Rent &amp; Covered Meals",IF(OR(ISNUMBER(SEARCH("GROWW",C10)),ISNUMBER(SEARCH("ZERODHA",C10)),ISNUMBER(SEARCH("MUTUAL",C10)),ISNUMBER(SEARCH("SIP",C10)),ISNUMBER(SEARCH("NIPPON",C10))),"Monthly SIP Investment",IF(OR(ISNUMBER(SEARCH("BMTC",C10)),ISNUMBER(SEARCH("BUS",C10)),ISNUMBER(SEARCH("METRO",C10)),ISNUMBER(SEARCH("CHALO",C10))),"BMTC Bus Commute",IF(OR(ISNUMBER(SEARCH("SWIGGY",C10)),ISNUMBER(SEARCH("ZOMATO",C10)),ISNUMBER(SEARCH("CANTEEN",C10)),ISNUMBER(SEARCH("LUNCH",C10)),ISNUMBER(SEARCH("FOOD",C10)),ISNUMBER(SEARCH("SUBWAY",C10))),"Daily Office Lunch (Mon–Sat)",IF(OR(ISNUMBER(SEARCH("BLINKIT",C10)),ISNUMBER(SEARCH("ZEPTO",C10)),ISNUMBER(SEARCH("RECHARGE",C10)),ISNUMBER(SEARCH("JIO",C10)),ISNUMBER(SEARCH("AIRTEL",C10)),ISNUMBER(SEARCH("PHARMACY",C10)),ISNUMBER(SEARCH("APOLLO",C10)),ISNUMBER(SEARCH("ESSENTIALS",C10)),ISNUMBER(SEARCH("LIFESTYLE",C10))),"Lifestyle &amp; Personal Essentials",IF(OR(ISNUMBER(SEARCH("EMERGENCY",C10)),ISNUMBER(SEARCH("SWEEP",C10)),ISNUMBER(SEARCH("RESERVE",C10))),"Emergency Fund Allocation","Unallocated Flex Buffer")))))))))</f>
        <v/>
      </c>
      <c r="J10" s="39" t="inlineStr"/>
      <c r="K10" s="23">
        <f>IF(C10="","",IF(J10&lt;&gt;"",J10,I10))</f>
        <v/>
      </c>
      <c r="L10" s="40">
        <f>IF(A10="","",IF(ISNUMBER(A10),TEXT(A10,"mmm-yyyy"),"Oct-2026"))</f>
        <v/>
      </c>
      <c r="M10" s="40">
        <f>IF(D10&gt;=5000,"🚨 High Value Debit (₹"&amp;TEXT(D10,"#,##0")&amp;")",IF(D10&gt;=1000,"⚡ Notable Expense","—"))</f>
        <v/>
      </c>
    </row>
    <row r="11">
      <c r="A11" s="40" t="inlineStr">
        <is>
          <t>04-10-2026</t>
        </is>
      </c>
      <c r="B11" s="40" t="inlineStr">
        <is>
          <t>UPI992101</t>
        </is>
      </c>
      <c r="C11" s="62" t="inlineStr">
        <is>
          <t>UPI-BMTC BUS PASS MONTHLY KUNDALAHALLI GATE</t>
        </is>
      </c>
      <c r="D11" s="41" t="n">
        <v>1000</v>
      </c>
      <c r="E11" s="41" t="inlineStr"/>
      <c r="F11" s="41" t="n">
        <v>14000</v>
      </c>
      <c r="G11" s="40" t="inlineStr">
        <is>
          <t>BLR02</t>
        </is>
      </c>
      <c r="H11" s="26">
        <f>IF(C11="","",IF(E11&gt;0,"INCOME",IF(D11&gt;0,"EXPENSE","NEUTRAL")))</f>
        <v/>
      </c>
      <c r="I11" s="39">
        <f>IF(C11="","",=IF(OR(ISNUMBER(SEARCH("STIPEND",C11)),ISNUMBER(SEARCH("SIGMASOFT",C11)),ISNUMBER(SEARCH("SALARY",C11))),"Internship Stipend",IF(OR(ISNUMBER(SEARCH("FAMILY",C11)),ISNUMBER(SEARCH("PAPA",C11)),ISNUMBER(SEARCH("MOM",C11)),ISNUMBER(SEARCH("FATHER",C11))),"Family Support",IF(OR(ISNUMBER(SEARCH("PG",C11)),ISNUMBER(SEARCH("RENT",C11)),ISNUMBER(SEARCH("STANZA",C11)),ISNUMBER(SEARCH("ZOLO",C11))),"PG Rent &amp; Covered Meals",IF(OR(ISNUMBER(SEARCH("GROWW",C11)),ISNUMBER(SEARCH("ZERODHA",C11)),ISNUMBER(SEARCH("MUTUAL",C11)),ISNUMBER(SEARCH("SIP",C11)),ISNUMBER(SEARCH("NIPPON",C11))),"Monthly SIP Investment",IF(OR(ISNUMBER(SEARCH("BMTC",C11)),ISNUMBER(SEARCH("BUS",C11)),ISNUMBER(SEARCH("METRO",C11)),ISNUMBER(SEARCH("CHALO",C11))),"BMTC Bus Commute",IF(OR(ISNUMBER(SEARCH("SWIGGY",C11)),ISNUMBER(SEARCH("ZOMATO",C11)),ISNUMBER(SEARCH("CANTEEN",C11)),ISNUMBER(SEARCH("LUNCH",C11)),ISNUMBER(SEARCH("FOOD",C11)),ISNUMBER(SEARCH("SUBWAY",C11))),"Daily Office Lunch (Mon–Sat)",IF(OR(ISNUMBER(SEARCH("BLINKIT",C11)),ISNUMBER(SEARCH("ZEPTO",C11)),ISNUMBER(SEARCH("RECHARGE",C11)),ISNUMBER(SEARCH("JIO",C11)),ISNUMBER(SEARCH("AIRTEL",C11)),ISNUMBER(SEARCH("PHARMACY",C11)),ISNUMBER(SEARCH("APOLLO",C11)),ISNUMBER(SEARCH("ESSENTIALS",C11)),ISNUMBER(SEARCH("LIFESTYLE",C11))),"Lifestyle &amp; Personal Essentials",IF(OR(ISNUMBER(SEARCH("EMERGENCY",C11)),ISNUMBER(SEARCH("SWEEP",C11)),ISNUMBER(SEARCH("RESERVE",C11))),"Emergency Fund Allocation","Unallocated Flex Buffer")))))))))</f>
        <v/>
      </c>
      <c r="J11" s="39" t="inlineStr"/>
      <c r="K11" s="23">
        <f>IF(C11="","",IF(J11&lt;&gt;"",J11,I11))</f>
        <v/>
      </c>
      <c r="L11" s="40">
        <f>IF(A11="","",IF(ISNUMBER(A11),TEXT(A11,"mmm-yyyy"),"Oct-2026"))</f>
        <v/>
      </c>
      <c r="M11" s="40">
        <f>IF(D11&gt;=5000,"🚨 High Value Debit (₹"&amp;TEXT(D11,"#,##0")&amp;")",IF(D11&gt;=1000,"⚡ Notable Expense","—"))</f>
        <v/>
      </c>
    </row>
    <row r="12">
      <c r="A12" s="40" t="inlineStr">
        <is>
          <t>05-10-2026</t>
        </is>
      </c>
      <c r="B12" s="40" t="inlineStr">
        <is>
          <t>TXN102938</t>
        </is>
      </c>
      <c r="C12" s="62" t="inlineStr">
        <is>
          <t>AUTO SWEEP TRANSFER TO LIQUID EMERGENCY FUND</t>
        </is>
      </c>
      <c r="D12" s="41" t="n">
        <v>2750</v>
      </c>
      <c r="E12" s="41" t="inlineStr"/>
      <c r="F12" s="41" t="n">
        <v>11250</v>
      </c>
      <c r="G12" s="40" t="inlineStr">
        <is>
          <t>BLR01</t>
        </is>
      </c>
      <c r="H12" s="26">
        <f>IF(C12="","",IF(E12&gt;0,"INCOME",IF(D12&gt;0,"EXPENSE","NEUTRAL")))</f>
        <v/>
      </c>
      <c r="I12" s="39">
        <f>IF(C12="","",=IF(OR(ISNUMBER(SEARCH("STIPEND",C12)),ISNUMBER(SEARCH("SIGMASOFT",C12)),ISNUMBER(SEARCH("SALARY",C12))),"Internship Stipend",IF(OR(ISNUMBER(SEARCH("FAMILY",C12)),ISNUMBER(SEARCH("PAPA",C12)),ISNUMBER(SEARCH("MOM",C12)),ISNUMBER(SEARCH("FATHER",C12))),"Family Support",IF(OR(ISNUMBER(SEARCH("PG",C12)),ISNUMBER(SEARCH("RENT",C12)),ISNUMBER(SEARCH("STANZA",C12)),ISNUMBER(SEARCH("ZOLO",C12))),"PG Rent &amp; Covered Meals",IF(OR(ISNUMBER(SEARCH("GROWW",C12)),ISNUMBER(SEARCH("ZERODHA",C12)),ISNUMBER(SEARCH("MUTUAL",C12)),ISNUMBER(SEARCH("SIP",C12)),ISNUMBER(SEARCH("NIPPON",C12))),"Monthly SIP Investment",IF(OR(ISNUMBER(SEARCH("BMTC",C12)),ISNUMBER(SEARCH("BUS",C12)),ISNUMBER(SEARCH("METRO",C12)),ISNUMBER(SEARCH("CHALO",C12))),"BMTC Bus Commute",IF(OR(ISNUMBER(SEARCH("SWIGGY",C12)),ISNUMBER(SEARCH("ZOMATO",C12)),ISNUMBER(SEARCH("CANTEEN",C12)),ISNUMBER(SEARCH("LUNCH",C12)),ISNUMBER(SEARCH("FOOD",C12)),ISNUMBER(SEARCH("SUBWAY",C12))),"Daily Office Lunch (Mon–Sat)",IF(OR(ISNUMBER(SEARCH("BLINKIT",C12)),ISNUMBER(SEARCH("ZEPTO",C12)),ISNUMBER(SEARCH("RECHARGE",C12)),ISNUMBER(SEARCH("JIO",C12)),ISNUMBER(SEARCH("AIRTEL",C12)),ISNUMBER(SEARCH("PHARMACY",C12)),ISNUMBER(SEARCH("APOLLO",C12)),ISNUMBER(SEARCH("ESSENTIALS",C12)),ISNUMBER(SEARCH("LIFESTYLE",C12))),"Lifestyle &amp; Personal Essentials",IF(OR(ISNUMBER(SEARCH("EMERGENCY",C12)),ISNUMBER(SEARCH("SWEEP",C12)),ISNUMBER(SEARCH("RESERVE",C12))),"Emergency Fund Allocation","Unallocated Flex Buffer")))))))))</f>
        <v/>
      </c>
      <c r="J12" s="39" t="inlineStr"/>
      <c r="K12" s="23">
        <f>IF(C12="","",IF(J12&lt;&gt;"",J12,I12))</f>
        <v/>
      </c>
      <c r="L12" s="40">
        <f>IF(A12="","",IF(ISNUMBER(A12),TEXT(A12,"mmm-yyyy"),"Oct-2026"))</f>
        <v/>
      </c>
      <c r="M12" s="40">
        <f>IF(D12&gt;=5000,"🚨 High Value Debit (₹"&amp;TEXT(D12,"#,##0")&amp;")",IF(D12&gt;=1000,"⚡ Notable Expense","—"))</f>
        <v/>
      </c>
    </row>
    <row r="13">
      <c r="A13" s="40" t="inlineStr">
        <is>
          <t>06-10-2026</t>
        </is>
      </c>
      <c r="B13" s="40" t="inlineStr">
        <is>
          <t>UPI392019</t>
        </is>
      </c>
      <c r="C13" s="62" t="inlineStr">
        <is>
          <t>UPI-SIGMA FOOD COURT CANTEEN LUNCH THALI</t>
        </is>
      </c>
      <c r="D13" s="41" t="n">
        <v>130</v>
      </c>
      <c r="E13" s="41" t="inlineStr"/>
      <c r="F13" s="41" t="n">
        <v>11120</v>
      </c>
      <c r="G13" s="40" t="inlineStr">
        <is>
          <t>BLR01</t>
        </is>
      </c>
      <c r="H13" s="26">
        <f>IF(C13="","",IF(E13&gt;0,"INCOME",IF(D13&gt;0,"EXPENSE","NEUTRAL")))</f>
        <v/>
      </c>
      <c r="I13" s="39">
        <f>IF(C13="","",=IF(OR(ISNUMBER(SEARCH("STIPEND",C13)),ISNUMBER(SEARCH("SIGMASOFT",C13)),ISNUMBER(SEARCH("SALARY",C13))),"Internship Stipend",IF(OR(ISNUMBER(SEARCH("FAMILY",C13)),ISNUMBER(SEARCH("PAPA",C13)),ISNUMBER(SEARCH("MOM",C13)),ISNUMBER(SEARCH("FATHER",C13))),"Family Support",IF(OR(ISNUMBER(SEARCH("PG",C13)),ISNUMBER(SEARCH("RENT",C13)),ISNUMBER(SEARCH("STANZA",C13)),ISNUMBER(SEARCH("ZOLO",C13))),"PG Rent &amp; Covered Meals",IF(OR(ISNUMBER(SEARCH("GROWW",C13)),ISNUMBER(SEARCH("ZERODHA",C13)),ISNUMBER(SEARCH("MUTUAL",C13)),ISNUMBER(SEARCH("SIP",C13)),ISNUMBER(SEARCH("NIPPON",C13))),"Monthly SIP Investment",IF(OR(ISNUMBER(SEARCH("BMTC",C13)),ISNUMBER(SEARCH("BUS",C13)),ISNUMBER(SEARCH("METRO",C13)),ISNUMBER(SEARCH("CHALO",C13))),"BMTC Bus Commute",IF(OR(ISNUMBER(SEARCH("SWIGGY",C13)),ISNUMBER(SEARCH("ZOMATO",C13)),ISNUMBER(SEARCH("CANTEEN",C13)),ISNUMBER(SEARCH("LUNCH",C13)),ISNUMBER(SEARCH("FOOD",C13)),ISNUMBER(SEARCH("SUBWAY",C13))),"Daily Office Lunch (Mon–Sat)",IF(OR(ISNUMBER(SEARCH("BLINKIT",C13)),ISNUMBER(SEARCH("ZEPTO",C13)),ISNUMBER(SEARCH("RECHARGE",C13)),ISNUMBER(SEARCH("JIO",C13)),ISNUMBER(SEARCH("AIRTEL",C13)),ISNUMBER(SEARCH("PHARMACY",C13)),ISNUMBER(SEARCH("APOLLO",C13)),ISNUMBER(SEARCH("ESSENTIALS",C13)),ISNUMBER(SEARCH("LIFESTYLE",C13))),"Lifestyle &amp; Personal Essentials",IF(OR(ISNUMBER(SEARCH("EMERGENCY",C13)),ISNUMBER(SEARCH("SWEEP",C13)),ISNUMBER(SEARCH("RESERVE",C13))),"Emergency Fund Allocation","Unallocated Flex Buffer")))))))))</f>
        <v/>
      </c>
      <c r="J13" s="39" t="inlineStr"/>
      <c r="K13" s="23">
        <f>IF(C13="","",IF(J13&lt;&gt;"",J13,I13))</f>
        <v/>
      </c>
      <c r="L13" s="40">
        <f>IF(A13="","",IF(ISNUMBER(A13),TEXT(A13,"mmm-yyyy"),"Oct-2026"))</f>
        <v/>
      </c>
      <c r="M13" s="40">
        <f>IF(D13&gt;=5000,"🚨 High Value Debit (₹"&amp;TEXT(D13,"#,##0")&amp;")",IF(D13&gt;=1000,"⚡ Notable Expense","—"))</f>
        <v/>
      </c>
    </row>
    <row r="14">
      <c r="A14" s="40" t="inlineStr">
        <is>
          <t>07-10-2026</t>
        </is>
      </c>
      <c r="B14" s="40" t="inlineStr">
        <is>
          <t>UPI392020</t>
        </is>
      </c>
      <c r="C14" s="62" t="inlineStr">
        <is>
          <t>UPI-SWIGGY MEALS SIGMA TECH PARK LUNCH</t>
        </is>
      </c>
      <c r="D14" s="41" t="n">
        <v>145</v>
      </c>
      <c r="E14" s="41" t="inlineStr"/>
      <c r="F14" s="41" t="n">
        <v>10975</v>
      </c>
      <c r="G14" s="40" t="inlineStr">
        <is>
          <t>BLR01</t>
        </is>
      </c>
      <c r="H14" s="26">
        <f>IF(C14="","",IF(E14&gt;0,"INCOME",IF(D14&gt;0,"EXPENSE","NEUTRAL")))</f>
        <v/>
      </c>
      <c r="I14" s="39">
        <f>IF(C14="","",=IF(OR(ISNUMBER(SEARCH("STIPEND",C14)),ISNUMBER(SEARCH("SIGMASOFT",C14)),ISNUMBER(SEARCH("SALARY",C14))),"Internship Stipend",IF(OR(ISNUMBER(SEARCH("FAMILY",C14)),ISNUMBER(SEARCH("PAPA",C14)),ISNUMBER(SEARCH("MOM",C14)),ISNUMBER(SEARCH("FATHER",C14))),"Family Support",IF(OR(ISNUMBER(SEARCH("PG",C14)),ISNUMBER(SEARCH("RENT",C14)),ISNUMBER(SEARCH("STANZA",C14)),ISNUMBER(SEARCH("ZOLO",C14))),"PG Rent &amp; Covered Meals",IF(OR(ISNUMBER(SEARCH("GROWW",C14)),ISNUMBER(SEARCH("ZERODHA",C14)),ISNUMBER(SEARCH("MUTUAL",C14)),ISNUMBER(SEARCH("SIP",C14)),ISNUMBER(SEARCH("NIPPON",C14))),"Monthly SIP Investment",IF(OR(ISNUMBER(SEARCH("BMTC",C14)),ISNUMBER(SEARCH("BUS",C14)),ISNUMBER(SEARCH("METRO",C14)),ISNUMBER(SEARCH("CHALO",C14))),"BMTC Bus Commute",IF(OR(ISNUMBER(SEARCH("SWIGGY",C14)),ISNUMBER(SEARCH("ZOMATO",C14)),ISNUMBER(SEARCH("CANTEEN",C14)),ISNUMBER(SEARCH("LUNCH",C14)),ISNUMBER(SEARCH("FOOD",C14)),ISNUMBER(SEARCH("SUBWAY",C14))),"Daily Office Lunch (Mon–Sat)",IF(OR(ISNUMBER(SEARCH("BLINKIT",C14)),ISNUMBER(SEARCH("ZEPTO",C14)),ISNUMBER(SEARCH("RECHARGE",C14)),ISNUMBER(SEARCH("JIO",C14)),ISNUMBER(SEARCH("AIRTEL",C14)),ISNUMBER(SEARCH("PHARMACY",C14)),ISNUMBER(SEARCH("APOLLO",C14)),ISNUMBER(SEARCH("ESSENTIALS",C14)),ISNUMBER(SEARCH("LIFESTYLE",C14))),"Lifestyle &amp; Personal Essentials",IF(OR(ISNUMBER(SEARCH("EMERGENCY",C14)),ISNUMBER(SEARCH("SWEEP",C14)),ISNUMBER(SEARCH("RESERVE",C14))),"Emergency Fund Allocation","Unallocated Flex Buffer")))))))))</f>
        <v/>
      </c>
      <c r="J14" s="39" t="inlineStr"/>
      <c r="K14" s="23">
        <f>IF(C14="","",IF(J14&lt;&gt;"",J14,I14))</f>
        <v/>
      </c>
      <c r="L14" s="40">
        <f>IF(A14="","",IF(ISNUMBER(A14),TEXT(A14,"mmm-yyyy"),"Oct-2026"))</f>
        <v/>
      </c>
      <c r="M14" s="40">
        <f>IF(D14&gt;=5000,"🚨 High Value Debit (₹"&amp;TEXT(D14,"#,##0")&amp;")",IF(D14&gt;=1000,"⚡ Notable Expense","—"))</f>
        <v/>
      </c>
    </row>
    <row r="15">
      <c r="A15" s="40" t="inlineStr">
        <is>
          <t>08-10-2026</t>
        </is>
      </c>
      <c r="B15" s="40" t="inlineStr">
        <is>
          <t>UPI392021</t>
        </is>
      </c>
      <c r="C15" s="62" t="inlineStr">
        <is>
          <t>UPI-SIGMA TECH PARK NORTH INDIAN LUNCH</t>
        </is>
      </c>
      <c r="D15" s="41" t="n">
        <v>120</v>
      </c>
      <c r="E15" s="41" t="inlineStr"/>
      <c r="F15" s="41" t="n">
        <v>10855</v>
      </c>
      <c r="G15" s="40" t="inlineStr">
        <is>
          <t>BLR01</t>
        </is>
      </c>
      <c r="H15" s="26">
        <f>IF(C15="","",IF(E15&gt;0,"INCOME",IF(D15&gt;0,"EXPENSE","NEUTRAL")))</f>
        <v/>
      </c>
      <c r="I15" s="39">
        <f>IF(C15="","",=IF(OR(ISNUMBER(SEARCH("STIPEND",C15)),ISNUMBER(SEARCH("SIGMASOFT",C15)),ISNUMBER(SEARCH("SALARY",C15))),"Internship Stipend",IF(OR(ISNUMBER(SEARCH("FAMILY",C15)),ISNUMBER(SEARCH("PAPA",C15)),ISNUMBER(SEARCH("MOM",C15)),ISNUMBER(SEARCH("FATHER",C15))),"Family Support",IF(OR(ISNUMBER(SEARCH("PG",C15)),ISNUMBER(SEARCH("RENT",C15)),ISNUMBER(SEARCH("STANZA",C15)),ISNUMBER(SEARCH("ZOLO",C15))),"PG Rent &amp; Covered Meals",IF(OR(ISNUMBER(SEARCH("GROWW",C15)),ISNUMBER(SEARCH("ZERODHA",C15)),ISNUMBER(SEARCH("MUTUAL",C15)),ISNUMBER(SEARCH("SIP",C15)),ISNUMBER(SEARCH("NIPPON",C15))),"Monthly SIP Investment",IF(OR(ISNUMBER(SEARCH("BMTC",C15)),ISNUMBER(SEARCH("BUS",C15)),ISNUMBER(SEARCH("METRO",C15)),ISNUMBER(SEARCH("CHALO",C15))),"BMTC Bus Commute",IF(OR(ISNUMBER(SEARCH("SWIGGY",C15)),ISNUMBER(SEARCH("ZOMATO",C15)),ISNUMBER(SEARCH("CANTEEN",C15)),ISNUMBER(SEARCH("LUNCH",C15)),ISNUMBER(SEARCH("FOOD",C15)),ISNUMBER(SEARCH("SUBWAY",C15))),"Daily Office Lunch (Mon–Sat)",IF(OR(ISNUMBER(SEARCH("BLINKIT",C15)),ISNUMBER(SEARCH("ZEPTO",C15)),ISNUMBER(SEARCH("RECHARGE",C15)),ISNUMBER(SEARCH("JIO",C15)),ISNUMBER(SEARCH("AIRTEL",C15)),ISNUMBER(SEARCH("PHARMACY",C15)),ISNUMBER(SEARCH("APOLLO",C15)),ISNUMBER(SEARCH("ESSENTIALS",C15)),ISNUMBER(SEARCH("LIFESTYLE",C15))),"Lifestyle &amp; Personal Essentials",IF(OR(ISNUMBER(SEARCH("EMERGENCY",C15)),ISNUMBER(SEARCH("SWEEP",C15)),ISNUMBER(SEARCH("RESERVE",C15))),"Emergency Fund Allocation","Unallocated Flex Buffer")))))))))</f>
        <v/>
      </c>
      <c r="J15" s="39" t="inlineStr"/>
      <c r="K15" s="23">
        <f>IF(C15="","",IF(J15&lt;&gt;"",J15,I15))</f>
        <v/>
      </c>
      <c r="L15" s="40">
        <f>IF(A15="","",IF(ISNUMBER(A15),TEXT(A15,"mmm-yyyy"),"Oct-2026"))</f>
        <v/>
      </c>
      <c r="M15" s="40">
        <f>IF(D15&gt;=5000,"🚨 High Value Debit (₹"&amp;TEXT(D15,"#,##0")&amp;")",IF(D15&gt;=1000,"⚡ Notable Expense","—"))</f>
        <v/>
      </c>
    </row>
    <row r="16">
      <c r="A16" s="40" t="inlineStr">
        <is>
          <t>09-10-2026</t>
        </is>
      </c>
      <c r="B16" s="40" t="inlineStr">
        <is>
          <t>UPI392022</t>
        </is>
      </c>
      <c r="C16" s="62" t="inlineStr">
        <is>
          <t>UPI-SUBWAY LUNCH SIGMA FOOD COURT</t>
        </is>
      </c>
      <c r="D16" s="41" t="n">
        <v>150</v>
      </c>
      <c r="E16" s="41" t="inlineStr"/>
      <c r="F16" s="41" t="n">
        <v>10705</v>
      </c>
      <c r="G16" s="40" t="inlineStr">
        <is>
          <t>BLR01</t>
        </is>
      </c>
      <c r="H16" s="26">
        <f>IF(C16="","",IF(E16&gt;0,"INCOME",IF(D16&gt;0,"EXPENSE","NEUTRAL")))</f>
        <v/>
      </c>
      <c r="I16" s="39">
        <f>IF(C16="","",=IF(OR(ISNUMBER(SEARCH("STIPEND",C16)),ISNUMBER(SEARCH("SIGMASOFT",C16)),ISNUMBER(SEARCH("SALARY",C16))),"Internship Stipend",IF(OR(ISNUMBER(SEARCH("FAMILY",C16)),ISNUMBER(SEARCH("PAPA",C16)),ISNUMBER(SEARCH("MOM",C16)),ISNUMBER(SEARCH("FATHER",C16))),"Family Support",IF(OR(ISNUMBER(SEARCH("PG",C16)),ISNUMBER(SEARCH("RENT",C16)),ISNUMBER(SEARCH("STANZA",C16)),ISNUMBER(SEARCH("ZOLO",C16))),"PG Rent &amp; Covered Meals",IF(OR(ISNUMBER(SEARCH("GROWW",C16)),ISNUMBER(SEARCH("ZERODHA",C16)),ISNUMBER(SEARCH("MUTUAL",C16)),ISNUMBER(SEARCH("SIP",C16)),ISNUMBER(SEARCH("NIPPON",C16))),"Monthly SIP Investment",IF(OR(ISNUMBER(SEARCH("BMTC",C16)),ISNUMBER(SEARCH("BUS",C16)),ISNUMBER(SEARCH("METRO",C16)),ISNUMBER(SEARCH("CHALO",C16))),"BMTC Bus Commute",IF(OR(ISNUMBER(SEARCH("SWIGGY",C16)),ISNUMBER(SEARCH("ZOMATO",C16)),ISNUMBER(SEARCH("CANTEEN",C16)),ISNUMBER(SEARCH("LUNCH",C16)),ISNUMBER(SEARCH("FOOD",C16)),ISNUMBER(SEARCH("SUBWAY",C16))),"Daily Office Lunch (Mon–Sat)",IF(OR(ISNUMBER(SEARCH("BLINKIT",C16)),ISNUMBER(SEARCH("ZEPTO",C16)),ISNUMBER(SEARCH("RECHARGE",C16)),ISNUMBER(SEARCH("JIO",C16)),ISNUMBER(SEARCH("AIRTEL",C16)),ISNUMBER(SEARCH("PHARMACY",C16)),ISNUMBER(SEARCH("APOLLO",C16)),ISNUMBER(SEARCH("ESSENTIALS",C16)),ISNUMBER(SEARCH("LIFESTYLE",C16))),"Lifestyle &amp; Personal Essentials",IF(OR(ISNUMBER(SEARCH("EMERGENCY",C16)),ISNUMBER(SEARCH("SWEEP",C16)),ISNUMBER(SEARCH("RESERVE",C16))),"Emergency Fund Allocation","Unallocated Flex Buffer")))))))))</f>
        <v/>
      </c>
      <c r="J16" s="39" t="inlineStr"/>
      <c r="K16" s="23">
        <f>IF(C16="","",IF(J16&lt;&gt;"",J16,I16))</f>
        <v/>
      </c>
      <c r="L16" s="40">
        <f>IF(A16="","",IF(ISNUMBER(A16),TEXT(A16,"mmm-yyyy"),"Oct-2026"))</f>
        <v/>
      </c>
      <c r="M16" s="40">
        <f>IF(D16&gt;=5000,"🚨 High Value Debit (₹"&amp;TEXT(D16,"#,##0")&amp;")",IF(D16&gt;=1000,"⚡ Notable Expense","—"))</f>
        <v/>
      </c>
    </row>
    <row r="17">
      <c r="A17" s="40" t="inlineStr">
        <is>
          <t>10-10-2026</t>
        </is>
      </c>
      <c r="B17" s="40" t="inlineStr">
        <is>
          <t>UPI440291</t>
        </is>
      </c>
      <c r="C17" s="62" t="inlineStr">
        <is>
          <t>UPI-BLINKIT GROCERIES AND TOILETRIES ESSENTIALS</t>
        </is>
      </c>
      <c r="D17" s="41" t="n">
        <v>680</v>
      </c>
      <c r="E17" s="41" t="inlineStr"/>
      <c r="F17" s="41" t="n">
        <v>10025</v>
      </c>
      <c r="G17" s="40" t="inlineStr">
        <is>
          <t>BLR02</t>
        </is>
      </c>
      <c r="H17" s="26">
        <f>IF(C17="","",IF(E17&gt;0,"INCOME",IF(D17&gt;0,"EXPENSE","NEUTRAL")))</f>
        <v/>
      </c>
      <c r="I17" s="39">
        <f>IF(C17="","",=IF(OR(ISNUMBER(SEARCH("STIPEND",C17)),ISNUMBER(SEARCH("SIGMASOFT",C17)),ISNUMBER(SEARCH("SALARY",C17))),"Internship Stipend",IF(OR(ISNUMBER(SEARCH("FAMILY",C17)),ISNUMBER(SEARCH("PAPA",C17)),ISNUMBER(SEARCH("MOM",C17)),ISNUMBER(SEARCH("FATHER",C17))),"Family Support",IF(OR(ISNUMBER(SEARCH("PG",C17)),ISNUMBER(SEARCH("RENT",C17)),ISNUMBER(SEARCH("STANZA",C17)),ISNUMBER(SEARCH("ZOLO",C17))),"PG Rent &amp; Covered Meals",IF(OR(ISNUMBER(SEARCH("GROWW",C17)),ISNUMBER(SEARCH("ZERODHA",C17)),ISNUMBER(SEARCH("MUTUAL",C17)),ISNUMBER(SEARCH("SIP",C17)),ISNUMBER(SEARCH("NIPPON",C17))),"Monthly SIP Investment",IF(OR(ISNUMBER(SEARCH("BMTC",C17)),ISNUMBER(SEARCH("BUS",C17)),ISNUMBER(SEARCH("METRO",C17)),ISNUMBER(SEARCH("CHALO",C17))),"BMTC Bus Commute",IF(OR(ISNUMBER(SEARCH("SWIGGY",C17)),ISNUMBER(SEARCH("ZOMATO",C17)),ISNUMBER(SEARCH("CANTEEN",C17)),ISNUMBER(SEARCH("LUNCH",C17)),ISNUMBER(SEARCH("FOOD",C17)),ISNUMBER(SEARCH("SUBWAY",C17))),"Daily Office Lunch (Mon–Sat)",IF(OR(ISNUMBER(SEARCH("BLINKIT",C17)),ISNUMBER(SEARCH("ZEPTO",C17)),ISNUMBER(SEARCH("RECHARGE",C17)),ISNUMBER(SEARCH("JIO",C17)),ISNUMBER(SEARCH("AIRTEL",C17)),ISNUMBER(SEARCH("PHARMACY",C17)),ISNUMBER(SEARCH("APOLLO",C17)),ISNUMBER(SEARCH("ESSENTIALS",C17)),ISNUMBER(SEARCH("LIFESTYLE",C17))),"Lifestyle &amp; Personal Essentials",IF(OR(ISNUMBER(SEARCH("EMERGENCY",C17)),ISNUMBER(SEARCH("SWEEP",C17)),ISNUMBER(SEARCH("RESERVE",C17))),"Emergency Fund Allocation","Unallocated Flex Buffer")))))))))</f>
        <v/>
      </c>
      <c r="J17" s="39" t="inlineStr"/>
      <c r="K17" s="23">
        <f>IF(C17="","",IF(J17&lt;&gt;"",J17,I17))</f>
        <v/>
      </c>
      <c r="L17" s="40">
        <f>IF(A17="","",IF(ISNUMBER(A17),TEXT(A17,"mmm-yyyy"),"Oct-2026"))</f>
        <v/>
      </c>
      <c r="M17" s="40">
        <f>IF(D17&gt;=5000,"🚨 High Value Debit (₹"&amp;TEXT(D17,"#,##0")&amp;")",IF(D17&gt;=1000,"⚡ Notable Expense","—"))</f>
        <v/>
      </c>
    </row>
    <row r="18">
      <c r="A18" s="40" t="inlineStr">
        <is>
          <t>11-10-2026</t>
        </is>
      </c>
      <c r="B18" s="40" t="inlineStr">
        <is>
          <t>UPI550192</t>
        </is>
      </c>
      <c r="C18" s="62" t="inlineStr">
        <is>
          <t>UPI-JIO FIBER &amp; MOBILE PREPAID RECHARGE</t>
        </is>
      </c>
      <c r="D18" s="41" t="n">
        <v>499</v>
      </c>
      <c r="E18" s="41" t="inlineStr"/>
      <c r="F18" s="41" t="n">
        <v>9526</v>
      </c>
      <c r="G18" s="40" t="inlineStr">
        <is>
          <t>MUM01</t>
        </is>
      </c>
      <c r="H18" s="26">
        <f>IF(C18="","",IF(E18&gt;0,"INCOME",IF(D18&gt;0,"EXPENSE","NEUTRAL")))</f>
        <v/>
      </c>
      <c r="I18" s="39">
        <f>IF(C18="","",=IF(OR(ISNUMBER(SEARCH("STIPEND",C18)),ISNUMBER(SEARCH("SIGMASOFT",C18)),ISNUMBER(SEARCH("SALARY",C18))),"Internship Stipend",IF(OR(ISNUMBER(SEARCH("FAMILY",C18)),ISNUMBER(SEARCH("PAPA",C18)),ISNUMBER(SEARCH("MOM",C18)),ISNUMBER(SEARCH("FATHER",C18))),"Family Support",IF(OR(ISNUMBER(SEARCH("PG",C18)),ISNUMBER(SEARCH("RENT",C18)),ISNUMBER(SEARCH("STANZA",C18)),ISNUMBER(SEARCH("ZOLO",C18))),"PG Rent &amp; Covered Meals",IF(OR(ISNUMBER(SEARCH("GROWW",C18)),ISNUMBER(SEARCH("ZERODHA",C18)),ISNUMBER(SEARCH("MUTUAL",C18)),ISNUMBER(SEARCH("SIP",C18)),ISNUMBER(SEARCH("NIPPON",C18))),"Monthly SIP Investment",IF(OR(ISNUMBER(SEARCH("BMTC",C18)),ISNUMBER(SEARCH("BUS",C18)),ISNUMBER(SEARCH("METRO",C18)),ISNUMBER(SEARCH("CHALO",C18))),"BMTC Bus Commute",IF(OR(ISNUMBER(SEARCH("SWIGGY",C18)),ISNUMBER(SEARCH("ZOMATO",C18)),ISNUMBER(SEARCH("CANTEEN",C18)),ISNUMBER(SEARCH("LUNCH",C18)),ISNUMBER(SEARCH("FOOD",C18)),ISNUMBER(SEARCH("SUBWAY",C18))),"Daily Office Lunch (Mon–Sat)",IF(OR(ISNUMBER(SEARCH("BLINKIT",C18)),ISNUMBER(SEARCH("ZEPTO",C18)),ISNUMBER(SEARCH("RECHARGE",C18)),ISNUMBER(SEARCH("JIO",C18)),ISNUMBER(SEARCH("AIRTEL",C18)),ISNUMBER(SEARCH("PHARMACY",C18)),ISNUMBER(SEARCH("APOLLO",C18)),ISNUMBER(SEARCH("ESSENTIALS",C18)),ISNUMBER(SEARCH("LIFESTYLE",C18))),"Lifestyle &amp; Personal Essentials",IF(OR(ISNUMBER(SEARCH("EMERGENCY",C18)),ISNUMBER(SEARCH("SWEEP",C18)),ISNUMBER(SEARCH("RESERVE",C18))),"Emergency Fund Allocation","Unallocated Flex Buffer")))))))))</f>
        <v/>
      </c>
      <c r="J18" s="39" t="inlineStr"/>
      <c r="K18" s="23">
        <f>IF(C18="","",IF(J18&lt;&gt;"",J18,I18))</f>
        <v/>
      </c>
      <c r="L18" s="40">
        <f>IF(A18="","",IF(ISNUMBER(A18),TEXT(A18,"mmm-yyyy"),"Oct-2026"))</f>
        <v/>
      </c>
      <c r="M18" s="40">
        <f>IF(D18&gt;=5000,"🚨 High Value Debit (₹"&amp;TEXT(D18,"#,##0")&amp;")",IF(D18&gt;=1000,"⚡ Notable Expense","—"))</f>
        <v/>
      </c>
    </row>
    <row r="19">
      <c r="A19" s="40" t="inlineStr">
        <is>
          <t>12-10-2026</t>
        </is>
      </c>
      <c r="B19" s="40" t="inlineStr">
        <is>
          <t>UPI660394</t>
        </is>
      </c>
      <c r="C19" s="62" t="inlineStr">
        <is>
          <t>UPI-APOLLO PHARMACY PERSONAL HEALTH ESSENTIALS</t>
        </is>
      </c>
      <c r="D19" s="41" t="n">
        <v>350</v>
      </c>
      <c r="E19" s="41" t="inlineStr"/>
      <c r="F19" s="41" t="n">
        <v>9176</v>
      </c>
      <c r="G19" s="40" t="inlineStr">
        <is>
          <t>BLR02</t>
        </is>
      </c>
      <c r="H19" s="26">
        <f>IF(C19="","",IF(E19&gt;0,"INCOME",IF(D19&gt;0,"EXPENSE","NEUTRAL")))</f>
        <v/>
      </c>
      <c r="I19" s="39">
        <f>IF(C19="","",=IF(OR(ISNUMBER(SEARCH("STIPEND",C19)),ISNUMBER(SEARCH("SIGMASOFT",C19)),ISNUMBER(SEARCH("SALARY",C19))),"Internship Stipend",IF(OR(ISNUMBER(SEARCH("FAMILY",C19)),ISNUMBER(SEARCH("PAPA",C19)),ISNUMBER(SEARCH("MOM",C19)),ISNUMBER(SEARCH("FATHER",C19))),"Family Support",IF(OR(ISNUMBER(SEARCH("PG",C19)),ISNUMBER(SEARCH("RENT",C19)),ISNUMBER(SEARCH("STANZA",C19)),ISNUMBER(SEARCH("ZOLO",C19))),"PG Rent &amp; Covered Meals",IF(OR(ISNUMBER(SEARCH("GROWW",C19)),ISNUMBER(SEARCH("ZERODHA",C19)),ISNUMBER(SEARCH("MUTUAL",C19)),ISNUMBER(SEARCH("SIP",C19)),ISNUMBER(SEARCH("NIPPON",C19))),"Monthly SIP Investment",IF(OR(ISNUMBER(SEARCH("BMTC",C19)),ISNUMBER(SEARCH("BUS",C19)),ISNUMBER(SEARCH("METRO",C19)),ISNUMBER(SEARCH("CHALO",C19))),"BMTC Bus Commute",IF(OR(ISNUMBER(SEARCH("SWIGGY",C19)),ISNUMBER(SEARCH("ZOMATO",C19)),ISNUMBER(SEARCH("CANTEEN",C19)),ISNUMBER(SEARCH("LUNCH",C19)),ISNUMBER(SEARCH("FOOD",C19)),ISNUMBER(SEARCH("SUBWAY",C19))),"Daily Office Lunch (Mon–Sat)",IF(OR(ISNUMBER(SEARCH("BLINKIT",C19)),ISNUMBER(SEARCH("ZEPTO",C19)),ISNUMBER(SEARCH("RECHARGE",C19)),ISNUMBER(SEARCH("JIO",C19)),ISNUMBER(SEARCH("AIRTEL",C19)),ISNUMBER(SEARCH("PHARMACY",C19)),ISNUMBER(SEARCH("APOLLO",C19)),ISNUMBER(SEARCH("ESSENTIALS",C19)),ISNUMBER(SEARCH("LIFESTYLE",C19))),"Lifestyle &amp; Personal Essentials",IF(OR(ISNUMBER(SEARCH("EMERGENCY",C19)),ISNUMBER(SEARCH("SWEEP",C19)),ISNUMBER(SEARCH("RESERVE",C19))),"Emergency Fund Allocation","Unallocated Flex Buffer")))))))))</f>
        <v/>
      </c>
      <c r="J19" s="39" t="inlineStr"/>
      <c r="K19" s="23">
        <f>IF(C19="","",IF(J19&lt;&gt;"",J19,I19))</f>
        <v/>
      </c>
      <c r="L19" s="40">
        <f>IF(A19="","",IF(ISNUMBER(A19),TEXT(A19,"mmm-yyyy"),"Oct-2026"))</f>
        <v/>
      </c>
      <c r="M19" s="40">
        <f>IF(D19&gt;=5000,"🚨 High Value Debit (₹"&amp;TEXT(D19,"#,##0")&amp;")",IF(D19&gt;=1000,"⚡ Notable Expense","—"))</f>
        <v/>
      </c>
    </row>
    <row r="20">
      <c r="A20" s="40" t="inlineStr">
        <is>
          <t>13-10-2026</t>
        </is>
      </c>
      <c r="B20" s="40" t="inlineStr">
        <is>
          <t>UPI770192</t>
        </is>
      </c>
      <c r="C20" s="62" t="inlineStr">
        <is>
          <t>UPI-SIGMA CANTEEN CHAI AND MEALS</t>
        </is>
      </c>
      <c r="D20" s="41" t="n">
        <v>115</v>
      </c>
      <c r="E20" s="41" t="inlineStr"/>
      <c r="F20" s="41" t="n">
        <v>9061</v>
      </c>
      <c r="G20" s="40" t="inlineStr">
        <is>
          <t>BLR01</t>
        </is>
      </c>
      <c r="H20" s="26">
        <f>IF(C20="","",IF(E20&gt;0,"INCOME",IF(D20&gt;0,"EXPENSE","NEUTRAL")))</f>
        <v/>
      </c>
      <c r="I20" s="39">
        <f>IF(C20="","",=IF(OR(ISNUMBER(SEARCH("STIPEND",C20)),ISNUMBER(SEARCH("SIGMASOFT",C20)),ISNUMBER(SEARCH("SALARY",C20))),"Internship Stipend",IF(OR(ISNUMBER(SEARCH("FAMILY",C20)),ISNUMBER(SEARCH("PAPA",C20)),ISNUMBER(SEARCH("MOM",C20)),ISNUMBER(SEARCH("FATHER",C20))),"Family Support",IF(OR(ISNUMBER(SEARCH("PG",C20)),ISNUMBER(SEARCH("RENT",C20)),ISNUMBER(SEARCH("STANZA",C20)),ISNUMBER(SEARCH("ZOLO",C20))),"PG Rent &amp; Covered Meals",IF(OR(ISNUMBER(SEARCH("GROWW",C20)),ISNUMBER(SEARCH("ZERODHA",C20)),ISNUMBER(SEARCH("MUTUAL",C20)),ISNUMBER(SEARCH("SIP",C20)),ISNUMBER(SEARCH("NIPPON",C20))),"Monthly SIP Investment",IF(OR(ISNUMBER(SEARCH("BMTC",C20)),ISNUMBER(SEARCH("BUS",C20)),ISNUMBER(SEARCH("METRO",C20)),ISNUMBER(SEARCH("CHALO",C20))),"BMTC Bus Commute",IF(OR(ISNUMBER(SEARCH("SWIGGY",C20)),ISNUMBER(SEARCH("ZOMATO",C20)),ISNUMBER(SEARCH("CANTEEN",C20)),ISNUMBER(SEARCH("LUNCH",C20)),ISNUMBER(SEARCH("FOOD",C20)),ISNUMBER(SEARCH("SUBWAY",C20))),"Daily Office Lunch (Mon–Sat)",IF(OR(ISNUMBER(SEARCH("BLINKIT",C20)),ISNUMBER(SEARCH("ZEPTO",C20)),ISNUMBER(SEARCH("RECHARGE",C20)),ISNUMBER(SEARCH("JIO",C20)),ISNUMBER(SEARCH("AIRTEL",C20)),ISNUMBER(SEARCH("PHARMACY",C20)),ISNUMBER(SEARCH("APOLLO",C20)),ISNUMBER(SEARCH("ESSENTIALS",C20)),ISNUMBER(SEARCH("LIFESTYLE",C20))),"Lifestyle &amp; Personal Essentials",IF(OR(ISNUMBER(SEARCH("EMERGENCY",C20)),ISNUMBER(SEARCH("SWEEP",C20)),ISNUMBER(SEARCH("RESERVE",C20))),"Emergency Fund Allocation","Unallocated Flex Buffer")))))))))</f>
        <v/>
      </c>
      <c r="J20" s="39" t="inlineStr"/>
      <c r="K20" s="23">
        <f>IF(C20="","",IF(J20&lt;&gt;"",J20,I20))</f>
        <v/>
      </c>
      <c r="L20" s="40">
        <f>IF(A20="","",IF(ISNUMBER(A20),TEXT(A20,"mmm-yyyy"),"Oct-2026"))</f>
        <v/>
      </c>
      <c r="M20" s="40">
        <f>IF(D20&gt;=5000,"🚨 High Value Debit (₹"&amp;TEXT(D20,"#,##0")&amp;")",IF(D20&gt;=1000,"⚡ Notable Expense","—"))</f>
        <v/>
      </c>
    </row>
    <row r="21">
      <c r="A21" s="40" t="inlineStr">
        <is>
          <t>14-10-2026</t>
        </is>
      </c>
      <c r="B21" s="40" t="inlineStr">
        <is>
          <t>UPI880293</t>
        </is>
      </c>
      <c r="C21" s="62" t="inlineStr">
        <is>
          <t>UPI-FOOD MEALS AT SIGMA TECH PARK</t>
        </is>
      </c>
      <c r="D21" s="41" t="n">
        <v>140</v>
      </c>
      <c r="E21" s="41" t="inlineStr"/>
      <c r="F21" s="41" t="n">
        <v>8921</v>
      </c>
      <c r="G21" s="40" t="inlineStr">
        <is>
          <t>BLR01</t>
        </is>
      </c>
      <c r="H21" s="26">
        <f>IF(C21="","",IF(E21&gt;0,"INCOME",IF(D21&gt;0,"EXPENSE","NEUTRAL")))</f>
        <v/>
      </c>
      <c r="I21" s="39">
        <f>IF(C21="","",=IF(OR(ISNUMBER(SEARCH("STIPEND",C21)),ISNUMBER(SEARCH("SIGMASOFT",C21)),ISNUMBER(SEARCH("SALARY",C21))),"Internship Stipend",IF(OR(ISNUMBER(SEARCH("FAMILY",C21)),ISNUMBER(SEARCH("PAPA",C21)),ISNUMBER(SEARCH("MOM",C21)),ISNUMBER(SEARCH("FATHER",C21))),"Family Support",IF(OR(ISNUMBER(SEARCH("PG",C21)),ISNUMBER(SEARCH("RENT",C21)),ISNUMBER(SEARCH("STANZA",C21)),ISNUMBER(SEARCH("ZOLO",C21))),"PG Rent &amp; Covered Meals",IF(OR(ISNUMBER(SEARCH("GROWW",C21)),ISNUMBER(SEARCH("ZERODHA",C21)),ISNUMBER(SEARCH("MUTUAL",C21)),ISNUMBER(SEARCH("SIP",C21)),ISNUMBER(SEARCH("NIPPON",C21))),"Monthly SIP Investment",IF(OR(ISNUMBER(SEARCH("BMTC",C21)),ISNUMBER(SEARCH("BUS",C21)),ISNUMBER(SEARCH("METRO",C21)),ISNUMBER(SEARCH("CHALO",C21))),"BMTC Bus Commute",IF(OR(ISNUMBER(SEARCH("SWIGGY",C21)),ISNUMBER(SEARCH("ZOMATO",C21)),ISNUMBER(SEARCH("CANTEEN",C21)),ISNUMBER(SEARCH("LUNCH",C21)),ISNUMBER(SEARCH("FOOD",C21)),ISNUMBER(SEARCH("SUBWAY",C21))),"Daily Office Lunch (Mon–Sat)",IF(OR(ISNUMBER(SEARCH("BLINKIT",C21)),ISNUMBER(SEARCH("ZEPTO",C21)),ISNUMBER(SEARCH("RECHARGE",C21)),ISNUMBER(SEARCH("JIO",C21)),ISNUMBER(SEARCH("AIRTEL",C21)),ISNUMBER(SEARCH("PHARMACY",C21)),ISNUMBER(SEARCH("APOLLO",C21)),ISNUMBER(SEARCH("ESSENTIALS",C21)),ISNUMBER(SEARCH("LIFESTYLE",C21))),"Lifestyle &amp; Personal Essentials",IF(OR(ISNUMBER(SEARCH("EMERGENCY",C21)),ISNUMBER(SEARCH("SWEEP",C21)),ISNUMBER(SEARCH("RESERVE",C21))),"Emergency Fund Allocation","Unallocated Flex Buffer")))))))))</f>
        <v/>
      </c>
      <c r="J21" s="39" t="inlineStr"/>
      <c r="K21" s="23">
        <f>IF(C21="","",IF(J21&lt;&gt;"",J21,I21))</f>
        <v/>
      </c>
      <c r="L21" s="40">
        <f>IF(A21="","",IF(ISNUMBER(A21),TEXT(A21,"mmm-yyyy"),"Oct-2026"))</f>
        <v/>
      </c>
      <c r="M21" s="40">
        <f>IF(D21&gt;=5000,"🚨 High Value Debit (₹"&amp;TEXT(D21,"#,##0")&amp;")",IF(D21&gt;=1000,"⚡ Notable Expense","—"))</f>
        <v/>
      </c>
    </row>
    <row r="22">
      <c r="A22" s="40" t="inlineStr">
        <is>
          <t>15-10-2026</t>
        </is>
      </c>
      <c r="B22" s="40" t="inlineStr">
        <is>
          <t>UPI990182</t>
        </is>
      </c>
      <c r="C22" s="62" t="inlineStr">
        <is>
          <t>UPI-WEEKEND DINING SUNDAY LIFESTYLE</t>
        </is>
      </c>
      <c r="D22" s="41" t="n">
        <v>850</v>
      </c>
      <c r="E22" s="41" t="inlineStr"/>
      <c r="F22" s="41" t="n">
        <v>8071</v>
      </c>
      <c r="G22" s="40" t="inlineStr">
        <is>
          <t>BLR01</t>
        </is>
      </c>
      <c r="H22" s="26">
        <f>IF(C22="","",IF(E22&gt;0,"INCOME",IF(D22&gt;0,"EXPENSE","NEUTRAL")))</f>
        <v/>
      </c>
      <c r="I22" s="39">
        <f>IF(C22="","",=IF(OR(ISNUMBER(SEARCH("STIPEND",C22)),ISNUMBER(SEARCH("SIGMASOFT",C22)),ISNUMBER(SEARCH("SALARY",C22))),"Internship Stipend",IF(OR(ISNUMBER(SEARCH("FAMILY",C22)),ISNUMBER(SEARCH("PAPA",C22)),ISNUMBER(SEARCH("MOM",C22)),ISNUMBER(SEARCH("FATHER",C22))),"Family Support",IF(OR(ISNUMBER(SEARCH("PG",C22)),ISNUMBER(SEARCH("RENT",C22)),ISNUMBER(SEARCH("STANZA",C22)),ISNUMBER(SEARCH("ZOLO",C22))),"PG Rent &amp; Covered Meals",IF(OR(ISNUMBER(SEARCH("GROWW",C22)),ISNUMBER(SEARCH("ZERODHA",C22)),ISNUMBER(SEARCH("MUTUAL",C22)),ISNUMBER(SEARCH("SIP",C22)),ISNUMBER(SEARCH("NIPPON",C22))),"Monthly SIP Investment",IF(OR(ISNUMBER(SEARCH("BMTC",C22)),ISNUMBER(SEARCH("BUS",C22)),ISNUMBER(SEARCH("METRO",C22)),ISNUMBER(SEARCH("CHALO",C22))),"BMTC Bus Commute",IF(OR(ISNUMBER(SEARCH("SWIGGY",C22)),ISNUMBER(SEARCH("ZOMATO",C22)),ISNUMBER(SEARCH("CANTEEN",C22)),ISNUMBER(SEARCH("LUNCH",C22)),ISNUMBER(SEARCH("FOOD",C22)),ISNUMBER(SEARCH("SUBWAY",C22))),"Daily Office Lunch (Mon–Sat)",IF(OR(ISNUMBER(SEARCH("BLINKIT",C22)),ISNUMBER(SEARCH("ZEPTO",C22)),ISNUMBER(SEARCH("RECHARGE",C22)),ISNUMBER(SEARCH("JIO",C22)),ISNUMBER(SEARCH("AIRTEL",C22)),ISNUMBER(SEARCH("PHARMACY",C22)),ISNUMBER(SEARCH("APOLLO",C22)),ISNUMBER(SEARCH("ESSENTIALS",C22)),ISNUMBER(SEARCH("LIFESTYLE",C22))),"Lifestyle &amp; Personal Essentials",IF(OR(ISNUMBER(SEARCH("EMERGENCY",C22)),ISNUMBER(SEARCH("SWEEP",C22)),ISNUMBER(SEARCH("RESERVE",C22))),"Emergency Fund Allocation","Unallocated Flex Buffer")))))))))</f>
        <v/>
      </c>
      <c r="J22" s="39" t="inlineStr"/>
      <c r="K22" s="23">
        <f>IF(C22="","",IF(J22&lt;&gt;"",J22,I22))</f>
        <v/>
      </c>
      <c r="L22" s="40">
        <f>IF(A22="","",IF(ISNUMBER(A22),TEXT(A22,"mmm-yyyy"),"Oct-2026"))</f>
        <v/>
      </c>
      <c r="M22" s="40">
        <f>IF(D22&gt;=5000,"🚨 High Value Debit (₹"&amp;TEXT(D22,"#,##0")&amp;")",IF(D22&gt;=1000,"⚡ Notable Expense","—"))</f>
        <v/>
      </c>
    </row>
    <row r="23">
      <c r="A23" s="40" t="inlineStr">
        <is>
          <t>16-10-2026</t>
        </is>
      </c>
      <c r="B23" s="40" t="inlineStr">
        <is>
          <t>ATM991823</t>
        </is>
      </c>
      <c r="C23" s="62" t="inlineStr">
        <is>
          <t>ATM CASH WITHDRAWAL KUNDALAHALLI BRANCH</t>
        </is>
      </c>
      <c r="D23" s="41" t="n">
        <v>500</v>
      </c>
      <c r="E23" s="41" t="inlineStr"/>
      <c r="F23" s="41" t="n">
        <v>7571</v>
      </c>
      <c r="G23" s="40" t="inlineStr">
        <is>
          <t>BLR01</t>
        </is>
      </c>
      <c r="H23" s="26">
        <f>IF(C23="","",IF(E23&gt;0,"INCOME",IF(D23&gt;0,"EXPENSE","NEUTRAL")))</f>
        <v/>
      </c>
      <c r="I23" s="39">
        <f>IF(C23="","",=IF(OR(ISNUMBER(SEARCH("STIPEND",C23)),ISNUMBER(SEARCH("SIGMASOFT",C23)),ISNUMBER(SEARCH("SALARY",C23))),"Internship Stipend",IF(OR(ISNUMBER(SEARCH("FAMILY",C23)),ISNUMBER(SEARCH("PAPA",C23)),ISNUMBER(SEARCH("MOM",C23)),ISNUMBER(SEARCH("FATHER",C23))),"Family Support",IF(OR(ISNUMBER(SEARCH("PG",C23)),ISNUMBER(SEARCH("RENT",C23)),ISNUMBER(SEARCH("STANZA",C23)),ISNUMBER(SEARCH("ZOLO",C23))),"PG Rent &amp; Covered Meals",IF(OR(ISNUMBER(SEARCH("GROWW",C23)),ISNUMBER(SEARCH("ZERODHA",C23)),ISNUMBER(SEARCH("MUTUAL",C23)),ISNUMBER(SEARCH("SIP",C23)),ISNUMBER(SEARCH("NIPPON",C23))),"Monthly SIP Investment",IF(OR(ISNUMBER(SEARCH("BMTC",C23)),ISNUMBER(SEARCH("BUS",C23)),ISNUMBER(SEARCH("METRO",C23)),ISNUMBER(SEARCH("CHALO",C23))),"BMTC Bus Commute",IF(OR(ISNUMBER(SEARCH("SWIGGY",C23)),ISNUMBER(SEARCH("ZOMATO",C23)),ISNUMBER(SEARCH("CANTEEN",C23)),ISNUMBER(SEARCH("LUNCH",C23)),ISNUMBER(SEARCH("FOOD",C23)),ISNUMBER(SEARCH("SUBWAY",C23))),"Daily Office Lunch (Mon–Sat)",IF(OR(ISNUMBER(SEARCH("BLINKIT",C23)),ISNUMBER(SEARCH("ZEPTO",C23)),ISNUMBER(SEARCH("RECHARGE",C23)),ISNUMBER(SEARCH("JIO",C23)),ISNUMBER(SEARCH("AIRTEL",C23)),ISNUMBER(SEARCH("PHARMACY",C23)),ISNUMBER(SEARCH("APOLLO",C23)),ISNUMBER(SEARCH("ESSENTIALS",C23)),ISNUMBER(SEARCH("LIFESTYLE",C23))),"Lifestyle &amp; Personal Essentials",IF(OR(ISNUMBER(SEARCH("EMERGENCY",C23)),ISNUMBER(SEARCH("SWEEP",C23)),ISNUMBER(SEARCH("RESERVE",C23))),"Emergency Fund Allocation","Unallocated Flex Buffer")))))))))</f>
        <v/>
      </c>
      <c r="J23" s="39" t="inlineStr"/>
      <c r="K23" s="23">
        <f>IF(C23="","",IF(J23&lt;&gt;"",J23,I23))</f>
        <v/>
      </c>
      <c r="L23" s="40">
        <f>IF(A23="","",IF(ISNUMBER(A23),TEXT(A23,"mmm-yyyy"),"Oct-2026"))</f>
        <v/>
      </c>
      <c r="M23" s="40">
        <f>IF(D23&gt;=5000,"🚨 High Value Debit (₹"&amp;TEXT(D23,"#,##0")&amp;")",IF(D23&gt;=1000,"⚡ Notable Expense","—"))</f>
        <v/>
      </c>
    </row>
    <row r="24">
      <c r="A24" s="39" t="inlineStr"/>
      <c r="B24" s="39" t="inlineStr"/>
      <c r="C24" s="39" t="inlineStr"/>
      <c r="D24" s="41" t="inlineStr"/>
      <c r="E24" s="41" t="inlineStr"/>
      <c r="F24" s="41" t="inlineStr"/>
      <c r="G24" s="39" t="inlineStr"/>
      <c r="H24" s="26">
        <f>IF(C24="","",IF(E24&gt;0,"INCOME",IF(D24&gt;0,"EXPENSE","NEUTRAL")))</f>
        <v/>
      </c>
      <c r="I24" s="39">
        <f>IF(C24="","",=IF(OR(ISNUMBER(SEARCH("STIPEND",C24)),ISNUMBER(SEARCH("SIGMASOFT",C24)),ISNUMBER(SEARCH("SALARY",C24))),"Internship Stipend",IF(OR(ISNUMBER(SEARCH("FAMILY",C24)),ISNUMBER(SEARCH("PAPA",C24)),ISNUMBER(SEARCH("MOM",C24)),ISNUMBER(SEARCH("FATHER",C24))),"Family Support",IF(OR(ISNUMBER(SEARCH("PG",C24)),ISNUMBER(SEARCH("RENT",C24)),ISNUMBER(SEARCH("STANZA",C24)),ISNUMBER(SEARCH("ZOLO",C24))),"PG Rent &amp; Covered Meals",IF(OR(ISNUMBER(SEARCH("GROWW",C24)),ISNUMBER(SEARCH("ZERODHA",C24)),ISNUMBER(SEARCH("MUTUAL",C24)),ISNUMBER(SEARCH("SIP",C24)),ISNUMBER(SEARCH("NIPPON",C24))),"Monthly SIP Investment",IF(OR(ISNUMBER(SEARCH("BMTC",C24)),ISNUMBER(SEARCH("BUS",C24)),ISNUMBER(SEARCH("METRO",C24)),ISNUMBER(SEARCH("CHALO",C24))),"BMTC Bus Commute",IF(OR(ISNUMBER(SEARCH("SWIGGY",C24)),ISNUMBER(SEARCH("ZOMATO",C24)),ISNUMBER(SEARCH("CANTEEN",C24)),ISNUMBER(SEARCH("LUNCH",C24)),ISNUMBER(SEARCH("FOOD",C24)),ISNUMBER(SEARCH("SUBWAY",C24))),"Daily Office Lunch (Mon–Sat)",IF(OR(ISNUMBER(SEARCH("BLINKIT",C24)),ISNUMBER(SEARCH("ZEPTO",C24)),ISNUMBER(SEARCH("RECHARGE",C24)),ISNUMBER(SEARCH("JIO",C24)),ISNUMBER(SEARCH("AIRTEL",C24)),ISNUMBER(SEARCH("PHARMACY",C24)),ISNUMBER(SEARCH("APOLLO",C24)),ISNUMBER(SEARCH("ESSENTIALS",C24)),ISNUMBER(SEARCH("LIFESTYLE",C24))),"Lifestyle &amp; Personal Essentials",IF(OR(ISNUMBER(SEARCH("EMERGENCY",C24)),ISNUMBER(SEARCH("SWEEP",C24)),ISNUMBER(SEARCH("RESERVE",C24))),"Emergency Fund Allocation","Unallocated Flex Buffer")))))))))</f>
        <v/>
      </c>
      <c r="J24" s="39" t="inlineStr"/>
      <c r="K24" s="23">
        <f>IF(C24="","",IF(J24&lt;&gt;"",J24,I24))</f>
        <v/>
      </c>
      <c r="L24" s="40">
        <f>IF(A24="","",IF(ISNUMBER(A24),TEXT(A24,"mmm-yyyy"),"Oct-2026"))</f>
        <v/>
      </c>
      <c r="M24" s="40">
        <f>IF(D24&gt;=5000,"🚨 High Value Debit (₹"&amp;TEXT(D24,"#,##0")&amp;")",IF(D24&gt;=1000,"⚡ Notable Expense","—"))</f>
        <v/>
      </c>
    </row>
    <row r="25">
      <c r="A25" s="39" t="inlineStr"/>
      <c r="B25" s="39" t="inlineStr"/>
      <c r="C25" s="39" t="inlineStr"/>
      <c r="D25" s="41" t="inlineStr"/>
      <c r="E25" s="41" t="inlineStr"/>
      <c r="F25" s="41" t="inlineStr"/>
      <c r="G25" s="39" t="inlineStr"/>
      <c r="H25" s="26">
        <f>IF(C25="","",IF(E25&gt;0,"INCOME",IF(D25&gt;0,"EXPENSE","NEUTRAL")))</f>
        <v/>
      </c>
      <c r="I25" s="39">
        <f>IF(C25="","",=IF(OR(ISNUMBER(SEARCH("STIPEND",C25)),ISNUMBER(SEARCH("SIGMASOFT",C25)),ISNUMBER(SEARCH("SALARY",C25))),"Internship Stipend",IF(OR(ISNUMBER(SEARCH("FAMILY",C25)),ISNUMBER(SEARCH("PAPA",C25)),ISNUMBER(SEARCH("MOM",C25)),ISNUMBER(SEARCH("FATHER",C25))),"Family Support",IF(OR(ISNUMBER(SEARCH("PG",C25)),ISNUMBER(SEARCH("RENT",C25)),ISNUMBER(SEARCH("STANZA",C25)),ISNUMBER(SEARCH("ZOLO",C25))),"PG Rent &amp; Covered Meals",IF(OR(ISNUMBER(SEARCH("GROWW",C25)),ISNUMBER(SEARCH("ZERODHA",C25)),ISNUMBER(SEARCH("MUTUAL",C25)),ISNUMBER(SEARCH("SIP",C25)),ISNUMBER(SEARCH("NIPPON",C25))),"Monthly SIP Investment",IF(OR(ISNUMBER(SEARCH("BMTC",C25)),ISNUMBER(SEARCH("BUS",C25)),ISNUMBER(SEARCH("METRO",C25)),ISNUMBER(SEARCH("CHALO",C25))),"BMTC Bus Commute",IF(OR(ISNUMBER(SEARCH("SWIGGY",C25)),ISNUMBER(SEARCH("ZOMATO",C25)),ISNUMBER(SEARCH("CANTEEN",C25)),ISNUMBER(SEARCH("LUNCH",C25)),ISNUMBER(SEARCH("FOOD",C25)),ISNUMBER(SEARCH("SUBWAY",C25))),"Daily Office Lunch (Mon–Sat)",IF(OR(ISNUMBER(SEARCH("BLINKIT",C25)),ISNUMBER(SEARCH("ZEPTO",C25)),ISNUMBER(SEARCH("RECHARGE",C25)),ISNUMBER(SEARCH("JIO",C25)),ISNUMBER(SEARCH("AIRTEL",C25)),ISNUMBER(SEARCH("PHARMACY",C25)),ISNUMBER(SEARCH("APOLLO",C25)),ISNUMBER(SEARCH("ESSENTIALS",C25)),ISNUMBER(SEARCH("LIFESTYLE",C25))),"Lifestyle &amp; Personal Essentials",IF(OR(ISNUMBER(SEARCH("EMERGENCY",C25)),ISNUMBER(SEARCH("SWEEP",C25)),ISNUMBER(SEARCH("RESERVE",C25))),"Emergency Fund Allocation","Unallocated Flex Buffer")))))))))</f>
        <v/>
      </c>
      <c r="J25" s="39" t="inlineStr"/>
      <c r="K25" s="23">
        <f>IF(C25="","",IF(J25&lt;&gt;"",J25,I25))</f>
        <v/>
      </c>
      <c r="L25" s="40">
        <f>IF(A25="","",IF(ISNUMBER(A25),TEXT(A25,"mmm-yyyy"),"Oct-2026"))</f>
        <v/>
      </c>
      <c r="M25" s="40">
        <f>IF(D25&gt;=5000,"🚨 High Value Debit (₹"&amp;TEXT(D25,"#,##0")&amp;")",IF(D25&gt;=1000,"⚡ Notable Expense","—"))</f>
        <v/>
      </c>
    </row>
    <row r="26">
      <c r="A26" s="39" t="inlineStr"/>
      <c r="B26" s="39" t="inlineStr"/>
      <c r="C26" s="39" t="inlineStr"/>
      <c r="D26" s="41" t="inlineStr"/>
      <c r="E26" s="41" t="inlineStr"/>
      <c r="F26" s="41" t="inlineStr"/>
      <c r="G26" s="39" t="inlineStr"/>
      <c r="H26" s="26">
        <f>IF(C26="","",IF(E26&gt;0,"INCOME",IF(D26&gt;0,"EXPENSE","NEUTRAL")))</f>
        <v/>
      </c>
      <c r="I26" s="39">
        <f>IF(C26="","",=IF(OR(ISNUMBER(SEARCH("STIPEND",C26)),ISNUMBER(SEARCH("SIGMASOFT",C26)),ISNUMBER(SEARCH("SALARY",C26))),"Internship Stipend",IF(OR(ISNUMBER(SEARCH("FAMILY",C26)),ISNUMBER(SEARCH("PAPA",C26)),ISNUMBER(SEARCH("MOM",C26)),ISNUMBER(SEARCH("FATHER",C26))),"Family Support",IF(OR(ISNUMBER(SEARCH("PG",C26)),ISNUMBER(SEARCH("RENT",C26)),ISNUMBER(SEARCH("STANZA",C26)),ISNUMBER(SEARCH("ZOLO",C26))),"PG Rent &amp; Covered Meals",IF(OR(ISNUMBER(SEARCH("GROWW",C26)),ISNUMBER(SEARCH("ZERODHA",C26)),ISNUMBER(SEARCH("MUTUAL",C26)),ISNUMBER(SEARCH("SIP",C26)),ISNUMBER(SEARCH("NIPPON",C26))),"Monthly SIP Investment",IF(OR(ISNUMBER(SEARCH("BMTC",C26)),ISNUMBER(SEARCH("BUS",C26)),ISNUMBER(SEARCH("METRO",C26)),ISNUMBER(SEARCH("CHALO",C26))),"BMTC Bus Commute",IF(OR(ISNUMBER(SEARCH("SWIGGY",C26)),ISNUMBER(SEARCH("ZOMATO",C26)),ISNUMBER(SEARCH("CANTEEN",C26)),ISNUMBER(SEARCH("LUNCH",C26)),ISNUMBER(SEARCH("FOOD",C26)),ISNUMBER(SEARCH("SUBWAY",C26))),"Daily Office Lunch (Mon–Sat)",IF(OR(ISNUMBER(SEARCH("BLINKIT",C26)),ISNUMBER(SEARCH("ZEPTO",C26)),ISNUMBER(SEARCH("RECHARGE",C26)),ISNUMBER(SEARCH("JIO",C26)),ISNUMBER(SEARCH("AIRTEL",C26)),ISNUMBER(SEARCH("PHARMACY",C26)),ISNUMBER(SEARCH("APOLLO",C26)),ISNUMBER(SEARCH("ESSENTIALS",C26)),ISNUMBER(SEARCH("LIFESTYLE",C26))),"Lifestyle &amp; Personal Essentials",IF(OR(ISNUMBER(SEARCH("EMERGENCY",C26)),ISNUMBER(SEARCH("SWEEP",C26)),ISNUMBER(SEARCH("RESERVE",C26))),"Emergency Fund Allocation","Unallocated Flex Buffer")))))))))</f>
        <v/>
      </c>
      <c r="J26" s="39" t="inlineStr"/>
      <c r="K26" s="23">
        <f>IF(C26="","",IF(J26&lt;&gt;"",J26,I26))</f>
        <v/>
      </c>
      <c r="L26" s="40">
        <f>IF(A26="","",IF(ISNUMBER(A26),TEXT(A26,"mmm-yyyy"),"Oct-2026"))</f>
        <v/>
      </c>
      <c r="M26" s="40">
        <f>IF(D26&gt;=5000,"🚨 High Value Debit (₹"&amp;TEXT(D26,"#,##0")&amp;")",IF(D26&gt;=1000,"⚡ Notable Expense","—"))</f>
        <v/>
      </c>
    </row>
    <row r="27">
      <c r="A27" s="39" t="inlineStr"/>
      <c r="B27" s="39" t="inlineStr"/>
      <c r="C27" s="39" t="inlineStr"/>
      <c r="D27" s="41" t="inlineStr"/>
      <c r="E27" s="41" t="inlineStr"/>
      <c r="F27" s="41" t="inlineStr"/>
      <c r="G27" s="39" t="inlineStr"/>
      <c r="H27" s="26">
        <f>IF(C27="","",IF(E27&gt;0,"INCOME",IF(D27&gt;0,"EXPENSE","NEUTRAL")))</f>
        <v/>
      </c>
      <c r="I27" s="39">
        <f>IF(C27="","",=IF(OR(ISNUMBER(SEARCH("STIPEND",C27)),ISNUMBER(SEARCH("SIGMASOFT",C27)),ISNUMBER(SEARCH("SALARY",C27))),"Internship Stipend",IF(OR(ISNUMBER(SEARCH("FAMILY",C27)),ISNUMBER(SEARCH("PAPA",C27)),ISNUMBER(SEARCH("MOM",C27)),ISNUMBER(SEARCH("FATHER",C27))),"Family Support",IF(OR(ISNUMBER(SEARCH("PG",C27)),ISNUMBER(SEARCH("RENT",C27)),ISNUMBER(SEARCH("STANZA",C27)),ISNUMBER(SEARCH("ZOLO",C27))),"PG Rent &amp; Covered Meals",IF(OR(ISNUMBER(SEARCH("GROWW",C27)),ISNUMBER(SEARCH("ZERODHA",C27)),ISNUMBER(SEARCH("MUTUAL",C27)),ISNUMBER(SEARCH("SIP",C27)),ISNUMBER(SEARCH("NIPPON",C27))),"Monthly SIP Investment",IF(OR(ISNUMBER(SEARCH("BMTC",C27)),ISNUMBER(SEARCH("BUS",C27)),ISNUMBER(SEARCH("METRO",C27)),ISNUMBER(SEARCH("CHALO",C27))),"BMTC Bus Commute",IF(OR(ISNUMBER(SEARCH("SWIGGY",C27)),ISNUMBER(SEARCH("ZOMATO",C27)),ISNUMBER(SEARCH("CANTEEN",C27)),ISNUMBER(SEARCH("LUNCH",C27)),ISNUMBER(SEARCH("FOOD",C27)),ISNUMBER(SEARCH("SUBWAY",C27))),"Daily Office Lunch (Mon–Sat)",IF(OR(ISNUMBER(SEARCH("BLINKIT",C27)),ISNUMBER(SEARCH("ZEPTO",C27)),ISNUMBER(SEARCH("RECHARGE",C27)),ISNUMBER(SEARCH("JIO",C27)),ISNUMBER(SEARCH("AIRTEL",C27)),ISNUMBER(SEARCH("PHARMACY",C27)),ISNUMBER(SEARCH("APOLLO",C27)),ISNUMBER(SEARCH("ESSENTIALS",C27)),ISNUMBER(SEARCH("LIFESTYLE",C27))),"Lifestyle &amp; Personal Essentials",IF(OR(ISNUMBER(SEARCH("EMERGENCY",C27)),ISNUMBER(SEARCH("SWEEP",C27)),ISNUMBER(SEARCH("RESERVE",C27))),"Emergency Fund Allocation","Unallocated Flex Buffer")))))))))</f>
        <v/>
      </c>
      <c r="J27" s="39" t="inlineStr"/>
      <c r="K27" s="23">
        <f>IF(C27="","",IF(J27&lt;&gt;"",J27,I27))</f>
        <v/>
      </c>
      <c r="L27" s="40">
        <f>IF(A27="","",IF(ISNUMBER(A27),TEXT(A27,"mmm-yyyy"),"Oct-2026"))</f>
        <v/>
      </c>
      <c r="M27" s="40">
        <f>IF(D27&gt;=5000,"🚨 High Value Debit (₹"&amp;TEXT(D27,"#,##0")&amp;")",IF(D27&gt;=1000,"⚡ Notable Expense","—"))</f>
        <v/>
      </c>
    </row>
    <row r="28">
      <c r="A28" s="39" t="inlineStr"/>
      <c r="B28" s="39" t="inlineStr"/>
      <c r="C28" s="39" t="inlineStr"/>
      <c r="D28" s="41" t="inlineStr"/>
      <c r="E28" s="41" t="inlineStr"/>
      <c r="F28" s="41" t="inlineStr"/>
      <c r="G28" s="39" t="inlineStr"/>
      <c r="H28" s="26">
        <f>IF(C28="","",IF(E28&gt;0,"INCOME",IF(D28&gt;0,"EXPENSE","NEUTRAL")))</f>
        <v/>
      </c>
      <c r="I28" s="39">
        <f>IF(C28="","",=IF(OR(ISNUMBER(SEARCH("STIPEND",C28)),ISNUMBER(SEARCH("SIGMASOFT",C28)),ISNUMBER(SEARCH("SALARY",C28))),"Internship Stipend",IF(OR(ISNUMBER(SEARCH("FAMILY",C28)),ISNUMBER(SEARCH("PAPA",C28)),ISNUMBER(SEARCH("MOM",C28)),ISNUMBER(SEARCH("FATHER",C28))),"Family Support",IF(OR(ISNUMBER(SEARCH("PG",C28)),ISNUMBER(SEARCH("RENT",C28)),ISNUMBER(SEARCH("STANZA",C28)),ISNUMBER(SEARCH("ZOLO",C28))),"PG Rent &amp; Covered Meals",IF(OR(ISNUMBER(SEARCH("GROWW",C28)),ISNUMBER(SEARCH("ZERODHA",C28)),ISNUMBER(SEARCH("MUTUAL",C28)),ISNUMBER(SEARCH("SIP",C28)),ISNUMBER(SEARCH("NIPPON",C28))),"Monthly SIP Investment",IF(OR(ISNUMBER(SEARCH("BMTC",C28)),ISNUMBER(SEARCH("BUS",C28)),ISNUMBER(SEARCH("METRO",C28)),ISNUMBER(SEARCH("CHALO",C28))),"BMTC Bus Commute",IF(OR(ISNUMBER(SEARCH("SWIGGY",C28)),ISNUMBER(SEARCH("ZOMATO",C28)),ISNUMBER(SEARCH("CANTEEN",C28)),ISNUMBER(SEARCH("LUNCH",C28)),ISNUMBER(SEARCH("FOOD",C28)),ISNUMBER(SEARCH("SUBWAY",C28))),"Daily Office Lunch (Mon–Sat)",IF(OR(ISNUMBER(SEARCH("BLINKIT",C28)),ISNUMBER(SEARCH("ZEPTO",C28)),ISNUMBER(SEARCH("RECHARGE",C28)),ISNUMBER(SEARCH("JIO",C28)),ISNUMBER(SEARCH("AIRTEL",C28)),ISNUMBER(SEARCH("PHARMACY",C28)),ISNUMBER(SEARCH("APOLLO",C28)),ISNUMBER(SEARCH("ESSENTIALS",C28)),ISNUMBER(SEARCH("LIFESTYLE",C28))),"Lifestyle &amp; Personal Essentials",IF(OR(ISNUMBER(SEARCH("EMERGENCY",C28)),ISNUMBER(SEARCH("SWEEP",C28)),ISNUMBER(SEARCH("RESERVE",C28))),"Emergency Fund Allocation","Unallocated Flex Buffer")))))))))</f>
        <v/>
      </c>
      <c r="J28" s="39" t="inlineStr"/>
      <c r="K28" s="23">
        <f>IF(C28="","",IF(J28&lt;&gt;"",J28,I28))</f>
        <v/>
      </c>
      <c r="L28" s="40">
        <f>IF(A28="","",IF(ISNUMBER(A28),TEXT(A28,"mmm-yyyy"),"Oct-2026"))</f>
        <v/>
      </c>
      <c r="M28" s="40">
        <f>IF(D28&gt;=5000,"🚨 High Value Debit (₹"&amp;TEXT(D28,"#,##0")&amp;")",IF(D28&gt;=1000,"⚡ Notable Expense","—"))</f>
        <v/>
      </c>
    </row>
    <row r="29">
      <c r="A29" s="39" t="inlineStr"/>
      <c r="B29" s="39" t="inlineStr"/>
      <c r="C29" s="39" t="inlineStr"/>
      <c r="D29" s="41" t="inlineStr"/>
      <c r="E29" s="41" t="inlineStr"/>
      <c r="F29" s="41" t="inlineStr"/>
      <c r="G29" s="39" t="inlineStr"/>
      <c r="H29" s="26">
        <f>IF(C29="","",IF(E29&gt;0,"INCOME",IF(D29&gt;0,"EXPENSE","NEUTRAL")))</f>
        <v/>
      </c>
      <c r="I29" s="39">
        <f>IF(C29="","",=IF(OR(ISNUMBER(SEARCH("STIPEND",C29)),ISNUMBER(SEARCH("SIGMASOFT",C29)),ISNUMBER(SEARCH("SALARY",C29))),"Internship Stipend",IF(OR(ISNUMBER(SEARCH("FAMILY",C29)),ISNUMBER(SEARCH("PAPA",C29)),ISNUMBER(SEARCH("MOM",C29)),ISNUMBER(SEARCH("FATHER",C29))),"Family Support",IF(OR(ISNUMBER(SEARCH("PG",C29)),ISNUMBER(SEARCH("RENT",C29)),ISNUMBER(SEARCH("STANZA",C29)),ISNUMBER(SEARCH("ZOLO",C29))),"PG Rent &amp; Covered Meals",IF(OR(ISNUMBER(SEARCH("GROWW",C29)),ISNUMBER(SEARCH("ZERODHA",C29)),ISNUMBER(SEARCH("MUTUAL",C29)),ISNUMBER(SEARCH("SIP",C29)),ISNUMBER(SEARCH("NIPPON",C29))),"Monthly SIP Investment",IF(OR(ISNUMBER(SEARCH("BMTC",C29)),ISNUMBER(SEARCH("BUS",C29)),ISNUMBER(SEARCH("METRO",C29)),ISNUMBER(SEARCH("CHALO",C29))),"BMTC Bus Commute",IF(OR(ISNUMBER(SEARCH("SWIGGY",C29)),ISNUMBER(SEARCH("ZOMATO",C29)),ISNUMBER(SEARCH("CANTEEN",C29)),ISNUMBER(SEARCH("LUNCH",C29)),ISNUMBER(SEARCH("FOOD",C29)),ISNUMBER(SEARCH("SUBWAY",C29))),"Daily Office Lunch (Mon–Sat)",IF(OR(ISNUMBER(SEARCH("BLINKIT",C29)),ISNUMBER(SEARCH("ZEPTO",C29)),ISNUMBER(SEARCH("RECHARGE",C29)),ISNUMBER(SEARCH("JIO",C29)),ISNUMBER(SEARCH("AIRTEL",C29)),ISNUMBER(SEARCH("PHARMACY",C29)),ISNUMBER(SEARCH("APOLLO",C29)),ISNUMBER(SEARCH("ESSENTIALS",C29)),ISNUMBER(SEARCH("LIFESTYLE",C29))),"Lifestyle &amp; Personal Essentials",IF(OR(ISNUMBER(SEARCH("EMERGENCY",C29)),ISNUMBER(SEARCH("SWEEP",C29)),ISNUMBER(SEARCH("RESERVE",C29))),"Emergency Fund Allocation","Unallocated Flex Buffer")))))))))</f>
        <v/>
      </c>
      <c r="J29" s="39" t="inlineStr"/>
      <c r="K29" s="23">
        <f>IF(C29="","",IF(J29&lt;&gt;"",J29,I29))</f>
        <v/>
      </c>
      <c r="L29" s="40">
        <f>IF(A29="","",IF(ISNUMBER(A29),TEXT(A29,"mmm-yyyy"),"Oct-2026"))</f>
        <v/>
      </c>
      <c r="M29" s="40">
        <f>IF(D29&gt;=5000,"🚨 High Value Debit (₹"&amp;TEXT(D29,"#,##0")&amp;")",IF(D29&gt;=1000,"⚡ Notable Expense","—"))</f>
        <v/>
      </c>
    </row>
    <row r="30">
      <c r="A30" s="39" t="inlineStr"/>
      <c r="B30" s="39" t="inlineStr"/>
      <c r="C30" s="39" t="inlineStr"/>
      <c r="D30" s="41" t="inlineStr"/>
      <c r="E30" s="41" t="inlineStr"/>
      <c r="F30" s="41" t="inlineStr"/>
      <c r="G30" s="39" t="inlineStr"/>
      <c r="H30" s="26">
        <f>IF(C30="","",IF(E30&gt;0,"INCOME",IF(D30&gt;0,"EXPENSE","NEUTRAL")))</f>
        <v/>
      </c>
      <c r="I30" s="39">
        <f>IF(C30="","",=IF(OR(ISNUMBER(SEARCH("STIPEND",C30)),ISNUMBER(SEARCH("SIGMASOFT",C30)),ISNUMBER(SEARCH("SALARY",C30))),"Internship Stipend",IF(OR(ISNUMBER(SEARCH("FAMILY",C30)),ISNUMBER(SEARCH("PAPA",C30)),ISNUMBER(SEARCH("MOM",C30)),ISNUMBER(SEARCH("FATHER",C30))),"Family Support",IF(OR(ISNUMBER(SEARCH("PG",C30)),ISNUMBER(SEARCH("RENT",C30)),ISNUMBER(SEARCH("STANZA",C30)),ISNUMBER(SEARCH("ZOLO",C30))),"PG Rent &amp; Covered Meals",IF(OR(ISNUMBER(SEARCH("GROWW",C30)),ISNUMBER(SEARCH("ZERODHA",C30)),ISNUMBER(SEARCH("MUTUAL",C30)),ISNUMBER(SEARCH("SIP",C30)),ISNUMBER(SEARCH("NIPPON",C30))),"Monthly SIP Investment",IF(OR(ISNUMBER(SEARCH("BMTC",C30)),ISNUMBER(SEARCH("BUS",C30)),ISNUMBER(SEARCH("METRO",C30)),ISNUMBER(SEARCH("CHALO",C30))),"BMTC Bus Commute",IF(OR(ISNUMBER(SEARCH("SWIGGY",C30)),ISNUMBER(SEARCH("ZOMATO",C30)),ISNUMBER(SEARCH("CANTEEN",C30)),ISNUMBER(SEARCH("LUNCH",C30)),ISNUMBER(SEARCH("FOOD",C30)),ISNUMBER(SEARCH("SUBWAY",C30))),"Daily Office Lunch (Mon–Sat)",IF(OR(ISNUMBER(SEARCH("BLINKIT",C30)),ISNUMBER(SEARCH("ZEPTO",C30)),ISNUMBER(SEARCH("RECHARGE",C30)),ISNUMBER(SEARCH("JIO",C30)),ISNUMBER(SEARCH("AIRTEL",C30)),ISNUMBER(SEARCH("PHARMACY",C30)),ISNUMBER(SEARCH("APOLLO",C30)),ISNUMBER(SEARCH("ESSENTIALS",C30)),ISNUMBER(SEARCH("LIFESTYLE",C30))),"Lifestyle &amp; Personal Essentials",IF(OR(ISNUMBER(SEARCH("EMERGENCY",C30)),ISNUMBER(SEARCH("SWEEP",C30)),ISNUMBER(SEARCH("RESERVE",C30))),"Emergency Fund Allocation","Unallocated Flex Buffer")))))))))</f>
        <v/>
      </c>
      <c r="J30" s="39" t="inlineStr"/>
      <c r="K30" s="23">
        <f>IF(C30="","",IF(J30&lt;&gt;"",J30,I30))</f>
        <v/>
      </c>
      <c r="L30" s="40">
        <f>IF(A30="","",IF(ISNUMBER(A30),TEXT(A30,"mmm-yyyy"),"Oct-2026"))</f>
        <v/>
      </c>
      <c r="M30" s="40">
        <f>IF(D30&gt;=5000,"🚨 High Value Debit (₹"&amp;TEXT(D30,"#,##0")&amp;")",IF(D30&gt;=1000,"⚡ Notable Expense","—"))</f>
        <v/>
      </c>
    </row>
    <row r="31">
      <c r="A31" s="39" t="inlineStr"/>
      <c r="B31" s="39" t="inlineStr"/>
      <c r="C31" s="39" t="inlineStr"/>
      <c r="D31" s="41" t="inlineStr"/>
      <c r="E31" s="41" t="inlineStr"/>
      <c r="F31" s="41" t="inlineStr"/>
      <c r="G31" s="39" t="inlineStr"/>
      <c r="H31" s="26">
        <f>IF(C31="","",IF(E31&gt;0,"INCOME",IF(D31&gt;0,"EXPENSE","NEUTRAL")))</f>
        <v/>
      </c>
      <c r="I31" s="39">
        <f>IF(C31="","",=IF(OR(ISNUMBER(SEARCH("STIPEND",C31)),ISNUMBER(SEARCH("SIGMASOFT",C31)),ISNUMBER(SEARCH("SALARY",C31))),"Internship Stipend",IF(OR(ISNUMBER(SEARCH("FAMILY",C31)),ISNUMBER(SEARCH("PAPA",C31)),ISNUMBER(SEARCH("MOM",C31)),ISNUMBER(SEARCH("FATHER",C31))),"Family Support",IF(OR(ISNUMBER(SEARCH("PG",C31)),ISNUMBER(SEARCH("RENT",C31)),ISNUMBER(SEARCH("STANZA",C31)),ISNUMBER(SEARCH("ZOLO",C31))),"PG Rent &amp; Covered Meals",IF(OR(ISNUMBER(SEARCH("GROWW",C31)),ISNUMBER(SEARCH("ZERODHA",C31)),ISNUMBER(SEARCH("MUTUAL",C31)),ISNUMBER(SEARCH("SIP",C31)),ISNUMBER(SEARCH("NIPPON",C31))),"Monthly SIP Investment",IF(OR(ISNUMBER(SEARCH("BMTC",C31)),ISNUMBER(SEARCH("BUS",C31)),ISNUMBER(SEARCH("METRO",C31)),ISNUMBER(SEARCH("CHALO",C31))),"BMTC Bus Commute",IF(OR(ISNUMBER(SEARCH("SWIGGY",C31)),ISNUMBER(SEARCH("ZOMATO",C31)),ISNUMBER(SEARCH("CANTEEN",C31)),ISNUMBER(SEARCH("LUNCH",C31)),ISNUMBER(SEARCH("FOOD",C31)),ISNUMBER(SEARCH("SUBWAY",C31))),"Daily Office Lunch (Mon–Sat)",IF(OR(ISNUMBER(SEARCH("BLINKIT",C31)),ISNUMBER(SEARCH("ZEPTO",C31)),ISNUMBER(SEARCH("RECHARGE",C31)),ISNUMBER(SEARCH("JIO",C31)),ISNUMBER(SEARCH("AIRTEL",C31)),ISNUMBER(SEARCH("PHARMACY",C31)),ISNUMBER(SEARCH("APOLLO",C31)),ISNUMBER(SEARCH("ESSENTIALS",C31)),ISNUMBER(SEARCH("LIFESTYLE",C31))),"Lifestyle &amp; Personal Essentials",IF(OR(ISNUMBER(SEARCH("EMERGENCY",C31)),ISNUMBER(SEARCH("SWEEP",C31)),ISNUMBER(SEARCH("RESERVE",C31))),"Emergency Fund Allocation","Unallocated Flex Buffer")))))))))</f>
        <v/>
      </c>
      <c r="J31" s="39" t="inlineStr"/>
      <c r="K31" s="23">
        <f>IF(C31="","",IF(J31&lt;&gt;"",J31,I31))</f>
        <v/>
      </c>
      <c r="L31" s="40">
        <f>IF(A31="","",IF(ISNUMBER(A31),TEXT(A31,"mmm-yyyy"),"Oct-2026"))</f>
        <v/>
      </c>
      <c r="M31" s="40">
        <f>IF(D31&gt;=5000,"🚨 High Value Debit (₹"&amp;TEXT(D31,"#,##0")&amp;")",IF(D31&gt;=1000,"⚡ Notable Expense","—"))</f>
        <v/>
      </c>
    </row>
    <row r="32">
      <c r="A32" s="39" t="inlineStr"/>
      <c r="B32" s="39" t="inlineStr"/>
      <c r="C32" s="39" t="inlineStr"/>
      <c r="D32" s="41" t="inlineStr"/>
      <c r="E32" s="41" t="inlineStr"/>
      <c r="F32" s="41" t="inlineStr"/>
      <c r="G32" s="39" t="inlineStr"/>
      <c r="H32" s="26">
        <f>IF(C32="","",IF(E32&gt;0,"INCOME",IF(D32&gt;0,"EXPENSE","NEUTRAL")))</f>
        <v/>
      </c>
      <c r="I32" s="39">
        <f>IF(C32="","",=IF(OR(ISNUMBER(SEARCH("STIPEND",C32)),ISNUMBER(SEARCH("SIGMASOFT",C32)),ISNUMBER(SEARCH("SALARY",C32))),"Internship Stipend",IF(OR(ISNUMBER(SEARCH("FAMILY",C32)),ISNUMBER(SEARCH("PAPA",C32)),ISNUMBER(SEARCH("MOM",C32)),ISNUMBER(SEARCH("FATHER",C32))),"Family Support",IF(OR(ISNUMBER(SEARCH("PG",C32)),ISNUMBER(SEARCH("RENT",C32)),ISNUMBER(SEARCH("STANZA",C32)),ISNUMBER(SEARCH("ZOLO",C32))),"PG Rent &amp; Covered Meals",IF(OR(ISNUMBER(SEARCH("GROWW",C32)),ISNUMBER(SEARCH("ZERODHA",C32)),ISNUMBER(SEARCH("MUTUAL",C32)),ISNUMBER(SEARCH("SIP",C32)),ISNUMBER(SEARCH("NIPPON",C32))),"Monthly SIP Investment",IF(OR(ISNUMBER(SEARCH("BMTC",C32)),ISNUMBER(SEARCH("BUS",C32)),ISNUMBER(SEARCH("METRO",C32)),ISNUMBER(SEARCH("CHALO",C32))),"BMTC Bus Commute",IF(OR(ISNUMBER(SEARCH("SWIGGY",C32)),ISNUMBER(SEARCH("ZOMATO",C32)),ISNUMBER(SEARCH("CANTEEN",C32)),ISNUMBER(SEARCH("LUNCH",C32)),ISNUMBER(SEARCH("FOOD",C32)),ISNUMBER(SEARCH("SUBWAY",C32))),"Daily Office Lunch (Mon–Sat)",IF(OR(ISNUMBER(SEARCH("BLINKIT",C32)),ISNUMBER(SEARCH("ZEPTO",C32)),ISNUMBER(SEARCH("RECHARGE",C32)),ISNUMBER(SEARCH("JIO",C32)),ISNUMBER(SEARCH("AIRTEL",C32)),ISNUMBER(SEARCH("PHARMACY",C32)),ISNUMBER(SEARCH("APOLLO",C32)),ISNUMBER(SEARCH("ESSENTIALS",C32)),ISNUMBER(SEARCH("LIFESTYLE",C32))),"Lifestyle &amp; Personal Essentials",IF(OR(ISNUMBER(SEARCH("EMERGENCY",C32)),ISNUMBER(SEARCH("SWEEP",C32)),ISNUMBER(SEARCH("RESERVE",C32))),"Emergency Fund Allocation","Unallocated Flex Buffer")))))))))</f>
        <v/>
      </c>
      <c r="J32" s="39" t="inlineStr"/>
      <c r="K32" s="23">
        <f>IF(C32="","",IF(J32&lt;&gt;"",J32,I32))</f>
        <v/>
      </c>
      <c r="L32" s="40">
        <f>IF(A32="","",IF(ISNUMBER(A32),TEXT(A32,"mmm-yyyy"),"Oct-2026"))</f>
        <v/>
      </c>
      <c r="M32" s="40">
        <f>IF(D32&gt;=5000,"🚨 High Value Debit (₹"&amp;TEXT(D32,"#,##0")&amp;")",IF(D32&gt;=1000,"⚡ Notable Expense","—"))</f>
        <v/>
      </c>
    </row>
    <row r="33">
      <c r="A33" s="39" t="inlineStr"/>
      <c r="B33" s="39" t="inlineStr"/>
      <c r="C33" s="39" t="inlineStr"/>
      <c r="D33" s="41" t="inlineStr"/>
      <c r="E33" s="41" t="inlineStr"/>
      <c r="F33" s="41" t="inlineStr"/>
      <c r="G33" s="39" t="inlineStr"/>
      <c r="H33" s="26">
        <f>IF(C33="","",IF(E33&gt;0,"INCOME",IF(D33&gt;0,"EXPENSE","NEUTRAL")))</f>
        <v/>
      </c>
      <c r="I33" s="39">
        <f>IF(C33="","",=IF(OR(ISNUMBER(SEARCH("STIPEND",C33)),ISNUMBER(SEARCH("SIGMASOFT",C33)),ISNUMBER(SEARCH("SALARY",C33))),"Internship Stipend",IF(OR(ISNUMBER(SEARCH("FAMILY",C33)),ISNUMBER(SEARCH("PAPA",C33)),ISNUMBER(SEARCH("MOM",C33)),ISNUMBER(SEARCH("FATHER",C33))),"Family Support",IF(OR(ISNUMBER(SEARCH("PG",C33)),ISNUMBER(SEARCH("RENT",C33)),ISNUMBER(SEARCH("STANZA",C33)),ISNUMBER(SEARCH("ZOLO",C33))),"PG Rent &amp; Covered Meals",IF(OR(ISNUMBER(SEARCH("GROWW",C33)),ISNUMBER(SEARCH("ZERODHA",C33)),ISNUMBER(SEARCH("MUTUAL",C33)),ISNUMBER(SEARCH("SIP",C33)),ISNUMBER(SEARCH("NIPPON",C33))),"Monthly SIP Investment",IF(OR(ISNUMBER(SEARCH("BMTC",C33)),ISNUMBER(SEARCH("BUS",C33)),ISNUMBER(SEARCH("METRO",C33)),ISNUMBER(SEARCH("CHALO",C33))),"BMTC Bus Commute",IF(OR(ISNUMBER(SEARCH("SWIGGY",C33)),ISNUMBER(SEARCH("ZOMATO",C33)),ISNUMBER(SEARCH("CANTEEN",C33)),ISNUMBER(SEARCH("LUNCH",C33)),ISNUMBER(SEARCH("FOOD",C33)),ISNUMBER(SEARCH("SUBWAY",C33))),"Daily Office Lunch (Mon–Sat)",IF(OR(ISNUMBER(SEARCH("BLINKIT",C33)),ISNUMBER(SEARCH("ZEPTO",C33)),ISNUMBER(SEARCH("RECHARGE",C33)),ISNUMBER(SEARCH("JIO",C33)),ISNUMBER(SEARCH("AIRTEL",C33)),ISNUMBER(SEARCH("PHARMACY",C33)),ISNUMBER(SEARCH("APOLLO",C33)),ISNUMBER(SEARCH("ESSENTIALS",C33)),ISNUMBER(SEARCH("LIFESTYLE",C33))),"Lifestyle &amp; Personal Essentials",IF(OR(ISNUMBER(SEARCH("EMERGENCY",C33)),ISNUMBER(SEARCH("SWEEP",C33)),ISNUMBER(SEARCH("RESERVE",C33))),"Emergency Fund Allocation","Unallocated Flex Buffer")))))))))</f>
        <v/>
      </c>
      <c r="J33" s="39" t="inlineStr"/>
      <c r="K33" s="23">
        <f>IF(C33="","",IF(J33&lt;&gt;"",J33,I33))</f>
        <v/>
      </c>
      <c r="L33" s="40">
        <f>IF(A33="","",IF(ISNUMBER(A33),TEXT(A33,"mmm-yyyy"),"Oct-2026"))</f>
        <v/>
      </c>
      <c r="M33" s="40">
        <f>IF(D33&gt;=5000,"🚨 High Value Debit (₹"&amp;TEXT(D33,"#,##0")&amp;")",IF(D33&gt;=1000,"⚡ Notable Expense","—"))</f>
        <v/>
      </c>
    </row>
    <row r="34">
      <c r="A34" s="39" t="inlineStr"/>
      <c r="B34" s="39" t="inlineStr"/>
      <c r="C34" s="39" t="inlineStr"/>
      <c r="D34" s="41" t="inlineStr"/>
      <c r="E34" s="41" t="inlineStr"/>
      <c r="F34" s="41" t="inlineStr"/>
      <c r="G34" s="39" t="inlineStr"/>
      <c r="H34" s="26">
        <f>IF(C34="","",IF(E34&gt;0,"INCOME",IF(D34&gt;0,"EXPENSE","NEUTRAL")))</f>
        <v/>
      </c>
      <c r="I34" s="39">
        <f>IF(C34="","",=IF(OR(ISNUMBER(SEARCH("STIPEND",C34)),ISNUMBER(SEARCH("SIGMASOFT",C34)),ISNUMBER(SEARCH("SALARY",C34))),"Internship Stipend",IF(OR(ISNUMBER(SEARCH("FAMILY",C34)),ISNUMBER(SEARCH("PAPA",C34)),ISNUMBER(SEARCH("MOM",C34)),ISNUMBER(SEARCH("FATHER",C34))),"Family Support",IF(OR(ISNUMBER(SEARCH("PG",C34)),ISNUMBER(SEARCH("RENT",C34)),ISNUMBER(SEARCH("STANZA",C34)),ISNUMBER(SEARCH("ZOLO",C34))),"PG Rent &amp; Covered Meals",IF(OR(ISNUMBER(SEARCH("GROWW",C34)),ISNUMBER(SEARCH("ZERODHA",C34)),ISNUMBER(SEARCH("MUTUAL",C34)),ISNUMBER(SEARCH("SIP",C34)),ISNUMBER(SEARCH("NIPPON",C34))),"Monthly SIP Investment",IF(OR(ISNUMBER(SEARCH("BMTC",C34)),ISNUMBER(SEARCH("BUS",C34)),ISNUMBER(SEARCH("METRO",C34)),ISNUMBER(SEARCH("CHALO",C34))),"BMTC Bus Commute",IF(OR(ISNUMBER(SEARCH("SWIGGY",C34)),ISNUMBER(SEARCH("ZOMATO",C34)),ISNUMBER(SEARCH("CANTEEN",C34)),ISNUMBER(SEARCH("LUNCH",C34)),ISNUMBER(SEARCH("FOOD",C34)),ISNUMBER(SEARCH("SUBWAY",C34))),"Daily Office Lunch (Mon–Sat)",IF(OR(ISNUMBER(SEARCH("BLINKIT",C34)),ISNUMBER(SEARCH("ZEPTO",C34)),ISNUMBER(SEARCH("RECHARGE",C34)),ISNUMBER(SEARCH("JIO",C34)),ISNUMBER(SEARCH("AIRTEL",C34)),ISNUMBER(SEARCH("PHARMACY",C34)),ISNUMBER(SEARCH("APOLLO",C34)),ISNUMBER(SEARCH("ESSENTIALS",C34)),ISNUMBER(SEARCH("LIFESTYLE",C34))),"Lifestyle &amp; Personal Essentials",IF(OR(ISNUMBER(SEARCH("EMERGENCY",C34)),ISNUMBER(SEARCH("SWEEP",C34)),ISNUMBER(SEARCH("RESERVE",C34))),"Emergency Fund Allocation","Unallocated Flex Buffer")))))))))</f>
        <v/>
      </c>
      <c r="J34" s="39" t="inlineStr"/>
      <c r="K34" s="23">
        <f>IF(C34="","",IF(J34&lt;&gt;"",J34,I34))</f>
        <v/>
      </c>
      <c r="L34" s="40">
        <f>IF(A34="","",IF(ISNUMBER(A34),TEXT(A34,"mmm-yyyy"),"Oct-2026"))</f>
        <v/>
      </c>
      <c r="M34" s="40">
        <f>IF(D34&gt;=5000,"🚨 High Value Debit (₹"&amp;TEXT(D34,"#,##0")&amp;")",IF(D34&gt;=1000,"⚡ Notable Expense","—"))</f>
        <v/>
      </c>
    </row>
    <row r="35">
      <c r="A35" s="39" t="inlineStr"/>
      <c r="B35" s="39" t="inlineStr"/>
      <c r="C35" s="39" t="inlineStr"/>
      <c r="D35" s="41" t="inlineStr"/>
      <c r="E35" s="41" t="inlineStr"/>
      <c r="F35" s="41" t="inlineStr"/>
      <c r="G35" s="39" t="inlineStr"/>
      <c r="H35" s="26">
        <f>IF(C35="","",IF(E35&gt;0,"INCOME",IF(D35&gt;0,"EXPENSE","NEUTRAL")))</f>
        <v/>
      </c>
      <c r="I35" s="39">
        <f>IF(C35="","",=IF(OR(ISNUMBER(SEARCH("STIPEND",C35)),ISNUMBER(SEARCH("SIGMASOFT",C35)),ISNUMBER(SEARCH("SALARY",C35))),"Internship Stipend",IF(OR(ISNUMBER(SEARCH("FAMILY",C35)),ISNUMBER(SEARCH("PAPA",C35)),ISNUMBER(SEARCH("MOM",C35)),ISNUMBER(SEARCH("FATHER",C35))),"Family Support",IF(OR(ISNUMBER(SEARCH("PG",C35)),ISNUMBER(SEARCH("RENT",C35)),ISNUMBER(SEARCH("STANZA",C35)),ISNUMBER(SEARCH("ZOLO",C35))),"PG Rent &amp; Covered Meals",IF(OR(ISNUMBER(SEARCH("GROWW",C35)),ISNUMBER(SEARCH("ZERODHA",C35)),ISNUMBER(SEARCH("MUTUAL",C35)),ISNUMBER(SEARCH("SIP",C35)),ISNUMBER(SEARCH("NIPPON",C35))),"Monthly SIP Investment",IF(OR(ISNUMBER(SEARCH("BMTC",C35)),ISNUMBER(SEARCH("BUS",C35)),ISNUMBER(SEARCH("METRO",C35)),ISNUMBER(SEARCH("CHALO",C35))),"BMTC Bus Commute",IF(OR(ISNUMBER(SEARCH("SWIGGY",C35)),ISNUMBER(SEARCH("ZOMATO",C35)),ISNUMBER(SEARCH("CANTEEN",C35)),ISNUMBER(SEARCH("LUNCH",C35)),ISNUMBER(SEARCH("FOOD",C35)),ISNUMBER(SEARCH("SUBWAY",C35))),"Daily Office Lunch (Mon–Sat)",IF(OR(ISNUMBER(SEARCH("BLINKIT",C35)),ISNUMBER(SEARCH("ZEPTO",C35)),ISNUMBER(SEARCH("RECHARGE",C35)),ISNUMBER(SEARCH("JIO",C35)),ISNUMBER(SEARCH("AIRTEL",C35)),ISNUMBER(SEARCH("PHARMACY",C35)),ISNUMBER(SEARCH("APOLLO",C35)),ISNUMBER(SEARCH("ESSENTIALS",C35)),ISNUMBER(SEARCH("LIFESTYLE",C35))),"Lifestyle &amp; Personal Essentials",IF(OR(ISNUMBER(SEARCH("EMERGENCY",C35)),ISNUMBER(SEARCH("SWEEP",C35)),ISNUMBER(SEARCH("RESERVE",C35))),"Emergency Fund Allocation","Unallocated Flex Buffer")))))))))</f>
        <v/>
      </c>
      <c r="J35" s="39" t="inlineStr"/>
      <c r="K35" s="23">
        <f>IF(C35="","",IF(J35&lt;&gt;"",J35,I35))</f>
        <v/>
      </c>
      <c r="L35" s="40">
        <f>IF(A35="","",IF(ISNUMBER(A35),TEXT(A35,"mmm-yyyy"),"Oct-2026"))</f>
        <v/>
      </c>
      <c r="M35" s="40">
        <f>IF(D35&gt;=5000,"🚨 High Value Debit (₹"&amp;TEXT(D35,"#,##0")&amp;")",IF(D35&gt;=1000,"⚡ Notable Expense","—"))</f>
        <v/>
      </c>
    </row>
    <row r="36">
      <c r="A36" s="39" t="inlineStr"/>
      <c r="B36" s="39" t="inlineStr"/>
      <c r="C36" s="39" t="inlineStr"/>
      <c r="D36" s="41" t="inlineStr"/>
      <c r="E36" s="41" t="inlineStr"/>
      <c r="F36" s="41" t="inlineStr"/>
      <c r="G36" s="39" t="inlineStr"/>
      <c r="H36" s="26">
        <f>IF(C36="","",IF(E36&gt;0,"INCOME",IF(D36&gt;0,"EXPENSE","NEUTRAL")))</f>
        <v/>
      </c>
      <c r="I36" s="39">
        <f>IF(C36="","",=IF(OR(ISNUMBER(SEARCH("STIPEND",C36)),ISNUMBER(SEARCH("SIGMASOFT",C36)),ISNUMBER(SEARCH("SALARY",C36))),"Internship Stipend",IF(OR(ISNUMBER(SEARCH("FAMILY",C36)),ISNUMBER(SEARCH("PAPA",C36)),ISNUMBER(SEARCH("MOM",C36)),ISNUMBER(SEARCH("FATHER",C36))),"Family Support",IF(OR(ISNUMBER(SEARCH("PG",C36)),ISNUMBER(SEARCH("RENT",C36)),ISNUMBER(SEARCH("STANZA",C36)),ISNUMBER(SEARCH("ZOLO",C36))),"PG Rent &amp; Covered Meals",IF(OR(ISNUMBER(SEARCH("GROWW",C36)),ISNUMBER(SEARCH("ZERODHA",C36)),ISNUMBER(SEARCH("MUTUAL",C36)),ISNUMBER(SEARCH("SIP",C36)),ISNUMBER(SEARCH("NIPPON",C36))),"Monthly SIP Investment",IF(OR(ISNUMBER(SEARCH("BMTC",C36)),ISNUMBER(SEARCH("BUS",C36)),ISNUMBER(SEARCH("METRO",C36)),ISNUMBER(SEARCH("CHALO",C36))),"BMTC Bus Commute",IF(OR(ISNUMBER(SEARCH("SWIGGY",C36)),ISNUMBER(SEARCH("ZOMATO",C36)),ISNUMBER(SEARCH("CANTEEN",C36)),ISNUMBER(SEARCH("LUNCH",C36)),ISNUMBER(SEARCH("FOOD",C36)),ISNUMBER(SEARCH("SUBWAY",C36))),"Daily Office Lunch (Mon–Sat)",IF(OR(ISNUMBER(SEARCH("BLINKIT",C36)),ISNUMBER(SEARCH("ZEPTO",C36)),ISNUMBER(SEARCH("RECHARGE",C36)),ISNUMBER(SEARCH("JIO",C36)),ISNUMBER(SEARCH("AIRTEL",C36)),ISNUMBER(SEARCH("PHARMACY",C36)),ISNUMBER(SEARCH("APOLLO",C36)),ISNUMBER(SEARCH("ESSENTIALS",C36)),ISNUMBER(SEARCH("LIFESTYLE",C36))),"Lifestyle &amp; Personal Essentials",IF(OR(ISNUMBER(SEARCH("EMERGENCY",C36)),ISNUMBER(SEARCH("SWEEP",C36)),ISNUMBER(SEARCH("RESERVE",C36))),"Emergency Fund Allocation","Unallocated Flex Buffer")))))))))</f>
        <v/>
      </c>
      <c r="J36" s="39" t="inlineStr"/>
      <c r="K36" s="23">
        <f>IF(C36="","",IF(J36&lt;&gt;"",J36,I36))</f>
        <v/>
      </c>
      <c r="L36" s="40">
        <f>IF(A36="","",IF(ISNUMBER(A36),TEXT(A36,"mmm-yyyy"),"Oct-2026"))</f>
        <v/>
      </c>
      <c r="M36" s="40">
        <f>IF(D36&gt;=5000,"🚨 High Value Debit (₹"&amp;TEXT(D36,"#,##0")&amp;")",IF(D36&gt;=1000,"⚡ Notable Expense","—"))</f>
        <v/>
      </c>
    </row>
    <row r="37">
      <c r="A37" s="39" t="inlineStr"/>
      <c r="B37" s="39" t="inlineStr"/>
      <c r="C37" s="39" t="inlineStr"/>
      <c r="D37" s="41" t="inlineStr"/>
      <c r="E37" s="41" t="inlineStr"/>
      <c r="F37" s="41" t="inlineStr"/>
      <c r="G37" s="39" t="inlineStr"/>
      <c r="H37" s="26">
        <f>IF(C37="","",IF(E37&gt;0,"INCOME",IF(D37&gt;0,"EXPENSE","NEUTRAL")))</f>
        <v/>
      </c>
      <c r="I37" s="39">
        <f>IF(C37="","",=IF(OR(ISNUMBER(SEARCH("STIPEND",C37)),ISNUMBER(SEARCH("SIGMASOFT",C37)),ISNUMBER(SEARCH("SALARY",C37))),"Internship Stipend",IF(OR(ISNUMBER(SEARCH("FAMILY",C37)),ISNUMBER(SEARCH("PAPA",C37)),ISNUMBER(SEARCH("MOM",C37)),ISNUMBER(SEARCH("FATHER",C37))),"Family Support",IF(OR(ISNUMBER(SEARCH("PG",C37)),ISNUMBER(SEARCH("RENT",C37)),ISNUMBER(SEARCH("STANZA",C37)),ISNUMBER(SEARCH("ZOLO",C37))),"PG Rent &amp; Covered Meals",IF(OR(ISNUMBER(SEARCH("GROWW",C37)),ISNUMBER(SEARCH("ZERODHA",C37)),ISNUMBER(SEARCH("MUTUAL",C37)),ISNUMBER(SEARCH("SIP",C37)),ISNUMBER(SEARCH("NIPPON",C37))),"Monthly SIP Investment",IF(OR(ISNUMBER(SEARCH("BMTC",C37)),ISNUMBER(SEARCH("BUS",C37)),ISNUMBER(SEARCH("METRO",C37)),ISNUMBER(SEARCH("CHALO",C37))),"BMTC Bus Commute",IF(OR(ISNUMBER(SEARCH("SWIGGY",C37)),ISNUMBER(SEARCH("ZOMATO",C37)),ISNUMBER(SEARCH("CANTEEN",C37)),ISNUMBER(SEARCH("LUNCH",C37)),ISNUMBER(SEARCH("FOOD",C37)),ISNUMBER(SEARCH("SUBWAY",C37))),"Daily Office Lunch (Mon–Sat)",IF(OR(ISNUMBER(SEARCH("BLINKIT",C37)),ISNUMBER(SEARCH("ZEPTO",C37)),ISNUMBER(SEARCH("RECHARGE",C37)),ISNUMBER(SEARCH("JIO",C37)),ISNUMBER(SEARCH("AIRTEL",C37)),ISNUMBER(SEARCH("PHARMACY",C37)),ISNUMBER(SEARCH("APOLLO",C37)),ISNUMBER(SEARCH("ESSENTIALS",C37)),ISNUMBER(SEARCH("LIFESTYLE",C37))),"Lifestyle &amp; Personal Essentials",IF(OR(ISNUMBER(SEARCH("EMERGENCY",C37)),ISNUMBER(SEARCH("SWEEP",C37)),ISNUMBER(SEARCH("RESERVE",C37))),"Emergency Fund Allocation","Unallocated Flex Buffer")))))))))</f>
        <v/>
      </c>
      <c r="J37" s="39" t="inlineStr"/>
      <c r="K37" s="23">
        <f>IF(C37="","",IF(J37&lt;&gt;"",J37,I37))</f>
        <v/>
      </c>
      <c r="L37" s="40">
        <f>IF(A37="","",IF(ISNUMBER(A37),TEXT(A37,"mmm-yyyy"),"Oct-2026"))</f>
        <v/>
      </c>
      <c r="M37" s="40">
        <f>IF(D37&gt;=5000,"🚨 High Value Debit (₹"&amp;TEXT(D37,"#,##0")&amp;")",IF(D37&gt;=1000,"⚡ Notable Expense","—"))</f>
        <v/>
      </c>
    </row>
    <row r="38">
      <c r="A38" s="39" t="inlineStr"/>
      <c r="B38" s="39" t="inlineStr"/>
      <c r="C38" s="39" t="inlineStr"/>
      <c r="D38" s="41" t="inlineStr"/>
      <c r="E38" s="41" t="inlineStr"/>
      <c r="F38" s="41" t="inlineStr"/>
      <c r="G38" s="39" t="inlineStr"/>
      <c r="H38" s="26">
        <f>IF(C38="","",IF(E38&gt;0,"INCOME",IF(D38&gt;0,"EXPENSE","NEUTRAL")))</f>
        <v/>
      </c>
      <c r="I38" s="39">
        <f>IF(C38="","",=IF(OR(ISNUMBER(SEARCH("STIPEND",C38)),ISNUMBER(SEARCH("SIGMASOFT",C38)),ISNUMBER(SEARCH("SALARY",C38))),"Internship Stipend",IF(OR(ISNUMBER(SEARCH("FAMILY",C38)),ISNUMBER(SEARCH("PAPA",C38)),ISNUMBER(SEARCH("MOM",C38)),ISNUMBER(SEARCH("FATHER",C38))),"Family Support",IF(OR(ISNUMBER(SEARCH("PG",C38)),ISNUMBER(SEARCH("RENT",C38)),ISNUMBER(SEARCH("STANZA",C38)),ISNUMBER(SEARCH("ZOLO",C38))),"PG Rent &amp; Covered Meals",IF(OR(ISNUMBER(SEARCH("GROWW",C38)),ISNUMBER(SEARCH("ZERODHA",C38)),ISNUMBER(SEARCH("MUTUAL",C38)),ISNUMBER(SEARCH("SIP",C38)),ISNUMBER(SEARCH("NIPPON",C38))),"Monthly SIP Investment",IF(OR(ISNUMBER(SEARCH("BMTC",C38)),ISNUMBER(SEARCH("BUS",C38)),ISNUMBER(SEARCH("METRO",C38)),ISNUMBER(SEARCH("CHALO",C38))),"BMTC Bus Commute",IF(OR(ISNUMBER(SEARCH("SWIGGY",C38)),ISNUMBER(SEARCH("ZOMATO",C38)),ISNUMBER(SEARCH("CANTEEN",C38)),ISNUMBER(SEARCH("LUNCH",C38)),ISNUMBER(SEARCH("FOOD",C38)),ISNUMBER(SEARCH("SUBWAY",C38))),"Daily Office Lunch (Mon–Sat)",IF(OR(ISNUMBER(SEARCH("BLINKIT",C38)),ISNUMBER(SEARCH("ZEPTO",C38)),ISNUMBER(SEARCH("RECHARGE",C38)),ISNUMBER(SEARCH("JIO",C38)),ISNUMBER(SEARCH("AIRTEL",C38)),ISNUMBER(SEARCH("PHARMACY",C38)),ISNUMBER(SEARCH("APOLLO",C38)),ISNUMBER(SEARCH("ESSENTIALS",C38)),ISNUMBER(SEARCH("LIFESTYLE",C38))),"Lifestyle &amp; Personal Essentials",IF(OR(ISNUMBER(SEARCH("EMERGENCY",C38)),ISNUMBER(SEARCH("SWEEP",C38)),ISNUMBER(SEARCH("RESERVE",C38))),"Emergency Fund Allocation","Unallocated Flex Buffer")))))))))</f>
        <v/>
      </c>
      <c r="J38" s="39" t="inlineStr"/>
      <c r="K38" s="23">
        <f>IF(C38="","",IF(J38&lt;&gt;"",J38,I38))</f>
        <v/>
      </c>
      <c r="L38" s="40">
        <f>IF(A38="","",IF(ISNUMBER(A38),TEXT(A38,"mmm-yyyy"),"Oct-2026"))</f>
        <v/>
      </c>
      <c r="M38" s="40">
        <f>IF(D38&gt;=5000,"🚨 High Value Debit (₹"&amp;TEXT(D38,"#,##0")&amp;")",IF(D38&gt;=1000,"⚡ Notable Expense","—"))</f>
        <v/>
      </c>
    </row>
    <row r="39">
      <c r="A39" s="39" t="inlineStr"/>
      <c r="B39" s="39" t="inlineStr"/>
      <c r="C39" s="39" t="inlineStr"/>
      <c r="D39" s="41" t="inlineStr"/>
      <c r="E39" s="41" t="inlineStr"/>
      <c r="F39" s="41" t="inlineStr"/>
      <c r="G39" s="39" t="inlineStr"/>
      <c r="H39" s="26">
        <f>IF(C39="","",IF(E39&gt;0,"INCOME",IF(D39&gt;0,"EXPENSE","NEUTRAL")))</f>
        <v/>
      </c>
      <c r="I39" s="39">
        <f>IF(C39="","",=IF(OR(ISNUMBER(SEARCH("STIPEND",C39)),ISNUMBER(SEARCH("SIGMASOFT",C39)),ISNUMBER(SEARCH("SALARY",C39))),"Internship Stipend",IF(OR(ISNUMBER(SEARCH("FAMILY",C39)),ISNUMBER(SEARCH("PAPA",C39)),ISNUMBER(SEARCH("MOM",C39)),ISNUMBER(SEARCH("FATHER",C39))),"Family Support",IF(OR(ISNUMBER(SEARCH("PG",C39)),ISNUMBER(SEARCH("RENT",C39)),ISNUMBER(SEARCH("STANZA",C39)),ISNUMBER(SEARCH("ZOLO",C39))),"PG Rent &amp; Covered Meals",IF(OR(ISNUMBER(SEARCH("GROWW",C39)),ISNUMBER(SEARCH("ZERODHA",C39)),ISNUMBER(SEARCH("MUTUAL",C39)),ISNUMBER(SEARCH("SIP",C39)),ISNUMBER(SEARCH("NIPPON",C39))),"Monthly SIP Investment",IF(OR(ISNUMBER(SEARCH("BMTC",C39)),ISNUMBER(SEARCH("BUS",C39)),ISNUMBER(SEARCH("METRO",C39)),ISNUMBER(SEARCH("CHALO",C39))),"BMTC Bus Commute",IF(OR(ISNUMBER(SEARCH("SWIGGY",C39)),ISNUMBER(SEARCH("ZOMATO",C39)),ISNUMBER(SEARCH("CANTEEN",C39)),ISNUMBER(SEARCH("LUNCH",C39)),ISNUMBER(SEARCH("FOOD",C39)),ISNUMBER(SEARCH("SUBWAY",C39))),"Daily Office Lunch (Mon–Sat)",IF(OR(ISNUMBER(SEARCH("BLINKIT",C39)),ISNUMBER(SEARCH("ZEPTO",C39)),ISNUMBER(SEARCH("RECHARGE",C39)),ISNUMBER(SEARCH("JIO",C39)),ISNUMBER(SEARCH("AIRTEL",C39)),ISNUMBER(SEARCH("PHARMACY",C39)),ISNUMBER(SEARCH("APOLLO",C39)),ISNUMBER(SEARCH("ESSENTIALS",C39)),ISNUMBER(SEARCH("LIFESTYLE",C39))),"Lifestyle &amp; Personal Essentials",IF(OR(ISNUMBER(SEARCH("EMERGENCY",C39)),ISNUMBER(SEARCH("SWEEP",C39)),ISNUMBER(SEARCH("RESERVE",C39))),"Emergency Fund Allocation","Unallocated Flex Buffer")))))))))</f>
        <v/>
      </c>
      <c r="J39" s="39" t="inlineStr"/>
      <c r="K39" s="23">
        <f>IF(C39="","",IF(J39&lt;&gt;"",J39,I39))</f>
        <v/>
      </c>
      <c r="L39" s="40">
        <f>IF(A39="","",IF(ISNUMBER(A39),TEXT(A39,"mmm-yyyy"),"Oct-2026"))</f>
        <v/>
      </c>
      <c r="M39" s="40">
        <f>IF(D39&gt;=5000,"🚨 High Value Debit (₹"&amp;TEXT(D39,"#,##0")&amp;")",IF(D39&gt;=1000,"⚡ Notable Expense","—"))</f>
        <v/>
      </c>
    </row>
    <row r="40">
      <c r="A40" s="39" t="inlineStr"/>
      <c r="B40" s="39" t="inlineStr"/>
      <c r="C40" s="39" t="inlineStr"/>
      <c r="D40" s="41" t="inlineStr"/>
      <c r="E40" s="41" t="inlineStr"/>
      <c r="F40" s="41" t="inlineStr"/>
      <c r="G40" s="39" t="inlineStr"/>
      <c r="H40" s="26">
        <f>IF(C40="","",IF(E40&gt;0,"INCOME",IF(D40&gt;0,"EXPENSE","NEUTRAL")))</f>
        <v/>
      </c>
      <c r="I40" s="39">
        <f>IF(C40="","",=IF(OR(ISNUMBER(SEARCH("STIPEND",C40)),ISNUMBER(SEARCH("SIGMASOFT",C40)),ISNUMBER(SEARCH("SALARY",C40))),"Internship Stipend",IF(OR(ISNUMBER(SEARCH("FAMILY",C40)),ISNUMBER(SEARCH("PAPA",C40)),ISNUMBER(SEARCH("MOM",C40)),ISNUMBER(SEARCH("FATHER",C40))),"Family Support",IF(OR(ISNUMBER(SEARCH("PG",C40)),ISNUMBER(SEARCH("RENT",C40)),ISNUMBER(SEARCH("STANZA",C40)),ISNUMBER(SEARCH("ZOLO",C40))),"PG Rent &amp; Covered Meals",IF(OR(ISNUMBER(SEARCH("GROWW",C40)),ISNUMBER(SEARCH("ZERODHA",C40)),ISNUMBER(SEARCH("MUTUAL",C40)),ISNUMBER(SEARCH("SIP",C40)),ISNUMBER(SEARCH("NIPPON",C40))),"Monthly SIP Investment",IF(OR(ISNUMBER(SEARCH("BMTC",C40)),ISNUMBER(SEARCH("BUS",C40)),ISNUMBER(SEARCH("METRO",C40)),ISNUMBER(SEARCH("CHALO",C40))),"BMTC Bus Commute",IF(OR(ISNUMBER(SEARCH("SWIGGY",C40)),ISNUMBER(SEARCH("ZOMATO",C40)),ISNUMBER(SEARCH("CANTEEN",C40)),ISNUMBER(SEARCH("LUNCH",C40)),ISNUMBER(SEARCH("FOOD",C40)),ISNUMBER(SEARCH("SUBWAY",C40))),"Daily Office Lunch (Mon–Sat)",IF(OR(ISNUMBER(SEARCH("BLINKIT",C40)),ISNUMBER(SEARCH("ZEPTO",C40)),ISNUMBER(SEARCH("RECHARGE",C40)),ISNUMBER(SEARCH("JIO",C40)),ISNUMBER(SEARCH("AIRTEL",C40)),ISNUMBER(SEARCH("PHARMACY",C40)),ISNUMBER(SEARCH("APOLLO",C40)),ISNUMBER(SEARCH("ESSENTIALS",C40)),ISNUMBER(SEARCH("LIFESTYLE",C40))),"Lifestyle &amp; Personal Essentials",IF(OR(ISNUMBER(SEARCH("EMERGENCY",C40)),ISNUMBER(SEARCH("SWEEP",C40)),ISNUMBER(SEARCH("RESERVE",C40))),"Emergency Fund Allocation","Unallocated Flex Buffer")))))))))</f>
        <v/>
      </c>
      <c r="J40" s="39" t="inlineStr"/>
      <c r="K40" s="23">
        <f>IF(C40="","",IF(J40&lt;&gt;"",J40,I40))</f>
        <v/>
      </c>
      <c r="L40" s="40">
        <f>IF(A40="","",IF(ISNUMBER(A40),TEXT(A40,"mmm-yyyy"),"Oct-2026"))</f>
        <v/>
      </c>
      <c r="M40" s="40">
        <f>IF(D40&gt;=5000,"🚨 High Value Debit (₹"&amp;TEXT(D40,"#,##0")&amp;")",IF(D40&gt;=1000,"⚡ Notable Expense","—"))</f>
        <v/>
      </c>
    </row>
    <row r="41">
      <c r="A41" s="39" t="inlineStr"/>
      <c r="B41" s="39" t="inlineStr"/>
      <c r="C41" s="39" t="inlineStr"/>
      <c r="D41" s="41" t="inlineStr"/>
      <c r="E41" s="41" t="inlineStr"/>
      <c r="F41" s="41" t="inlineStr"/>
      <c r="G41" s="39" t="inlineStr"/>
      <c r="H41" s="26">
        <f>IF(C41="","",IF(E41&gt;0,"INCOME",IF(D41&gt;0,"EXPENSE","NEUTRAL")))</f>
        <v/>
      </c>
      <c r="I41" s="39">
        <f>IF(C41="","",=IF(OR(ISNUMBER(SEARCH("STIPEND",C41)),ISNUMBER(SEARCH("SIGMASOFT",C41)),ISNUMBER(SEARCH("SALARY",C41))),"Internship Stipend",IF(OR(ISNUMBER(SEARCH("FAMILY",C41)),ISNUMBER(SEARCH("PAPA",C41)),ISNUMBER(SEARCH("MOM",C41)),ISNUMBER(SEARCH("FATHER",C41))),"Family Support",IF(OR(ISNUMBER(SEARCH("PG",C41)),ISNUMBER(SEARCH("RENT",C41)),ISNUMBER(SEARCH("STANZA",C41)),ISNUMBER(SEARCH("ZOLO",C41))),"PG Rent &amp; Covered Meals",IF(OR(ISNUMBER(SEARCH("GROWW",C41)),ISNUMBER(SEARCH("ZERODHA",C41)),ISNUMBER(SEARCH("MUTUAL",C41)),ISNUMBER(SEARCH("SIP",C41)),ISNUMBER(SEARCH("NIPPON",C41))),"Monthly SIP Investment",IF(OR(ISNUMBER(SEARCH("BMTC",C41)),ISNUMBER(SEARCH("BUS",C41)),ISNUMBER(SEARCH("METRO",C41)),ISNUMBER(SEARCH("CHALO",C41))),"BMTC Bus Commute",IF(OR(ISNUMBER(SEARCH("SWIGGY",C41)),ISNUMBER(SEARCH("ZOMATO",C41)),ISNUMBER(SEARCH("CANTEEN",C41)),ISNUMBER(SEARCH("LUNCH",C41)),ISNUMBER(SEARCH("FOOD",C41)),ISNUMBER(SEARCH("SUBWAY",C41))),"Daily Office Lunch (Mon–Sat)",IF(OR(ISNUMBER(SEARCH("BLINKIT",C41)),ISNUMBER(SEARCH("ZEPTO",C41)),ISNUMBER(SEARCH("RECHARGE",C41)),ISNUMBER(SEARCH("JIO",C41)),ISNUMBER(SEARCH("AIRTEL",C41)),ISNUMBER(SEARCH("PHARMACY",C41)),ISNUMBER(SEARCH("APOLLO",C41)),ISNUMBER(SEARCH("ESSENTIALS",C41)),ISNUMBER(SEARCH("LIFESTYLE",C41))),"Lifestyle &amp; Personal Essentials",IF(OR(ISNUMBER(SEARCH("EMERGENCY",C41)),ISNUMBER(SEARCH("SWEEP",C41)),ISNUMBER(SEARCH("RESERVE",C41))),"Emergency Fund Allocation","Unallocated Flex Buffer")))))))))</f>
        <v/>
      </c>
      <c r="J41" s="39" t="inlineStr"/>
      <c r="K41" s="23">
        <f>IF(C41="","",IF(J41&lt;&gt;"",J41,I41))</f>
        <v/>
      </c>
      <c r="L41" s="40">
        <f>IF(A41="","",IF(ISNUMBER(A41),TEXT(A41,"mmm-yyyy"),"Oct-2026"))</f>
        <v/>
      </c>
      <c r="M41" s="40">
        <f>IF(D41&gt;=5000,"🚨 High Value Debit (₹"&amp;TEXT(D41,"#,##0")&amp;")",IF(D41&gt;=1000,"⚡ Notable Expense","—"))</f>
        <v/>
      </c>
    </row>
    <row r="42">
      <c r="A42" s="39" t="inlineStr"/>
      <c r="B42" s="39" t="inlineStr"/>
      <c r="C42" s="39" t="inlineStr"/>
      <c r="D42" s="41" t="inlineStr"/>
      <c r="E42" s="41" t="inlineStr"/>
      <c r="F42" s="41" t="inlineStr"/>
      <c r="G42" s="39" t="inlineStr"/>
      <c r="H42" s="26">
        <f>IF(C42="","",IF(E42&gt;0,"INCOME",IF(D42&gt;0,"EXPENSE","NEUTRAL")))</f>
        <v/>
      </c>
      <c r="I42" s="39">
        <f>IF(C42="","",=IF(OR(ISNUMBER(SEARCH("STIPEND",C42)),ISNUMBER(SEARCH("SIGMASOFT",C42)),ISNUMBER(SEARCH("SALARY",C42))),"Internship Stipend",IF(OR(ISNUMBER(SEARCH("FAMILY",C42)),ISNUMBER(SEARCH("PAPA",C42)),ISNUMBER(SEARCH("MOM",C42)),ISNUMBER(SEARCH("FATHER",C42))),"Family Support",IF(OR(ISNUMBER(SEARCH("PG",C42)),ISNUMBER(SEARCH("RENT",C42)),ISNUMBER(SEARCH("STANZA",C42)),ISNUMBER(SEARCH("ZOLO",C42))),"PG Rent &amp; Covered Meals",IF(OR(ISNUMBER(SEARCH("GROWW",C42)),ISNUMBER(SEARCH("ZERODHA",C42)),ISNUMBER(SEARCH("MUTUAL",C42)),ISNUMBER(SEARCH("SIP",C42)),ISNUMBER(SEARCH("NIPPON",C42))),"Monthly SIP Investment",IF(OR(ISNUMBER(SEARCH("BMTC",C42)),ISNUMBER(SEARCH("BUS",C42)),ISNUMBER(SEARCH("METRO",C42)),ISNUMBER(SEARCH("CHALO",C42))),"BMTC Bus Commute",IF(OR(ISNUMBER(SEARCH("SWIGGY",C42)),ISNUMBER(SEARCH("ZOMATO",C42)),ISNUMBER(SEARCH("CANTEEN",C42)),ISNUMBER(SEARCH("LUNCH",C42)),ISNUMBER(SEARCH("FOOD",C42)),ISNUMBER(SEARCH("SUBWAY",C42))),"Daily Office Lunch (Mon–Sat)",IF(OR(ISNUMBER(SEARCH("BLINKIT",C42)),ISNUMBER(SEARCH("ZEPTO",C42)),ISNUMBER(SEARCH("RECHARGE",C42)),ISNUMBER(SEARCH("JIO",C42)),ISNUMBER(SEARCH("AIRTEL",C42)),ISNUMBER(SEARCH("PHARMACY",C42)),ISNUMBER(SEARCH("APOLLO",C42)),ISNUMBER(SEARCH("ESSENTIALS",C42)),ISNUMBER(SEARCH("LIFESTYLE",C42))),"Lifestyle &amp; Personal Essentials",IF(OR(ISNUMBER(SEARCH("EMERGENCY",C42)),ISNUMBER(SEARCH("SWEEP",C42)),ISNUMBER(SEARCH("RESERVE",C42))),"Emergency Fund Allocation","Unallocated Flex Buffer")))))))))</f>
        <v/>
      </c>
      <c r="J42" s="39" t="inlineStr"/>
      <c r="K42" s="23">
        <f>IF(C42="","",IF(J42&lt;&gt;"",J42,I42))</f>
        <v/>
      </c>
      <c r="L42" s="40">
        <f>IF(A42="","",IF(ISNUMBER(A42),TEXT(A42,"mmm-yyyy"),"Oct-2026"))</f>
        <v/>
      </c>
      <c r="M42" s="40">
        <f>IF(D42&gt;=5000,"🚨 High Value Debit (₹"&amp;TEXT(D42,"#,##0")&amp;")",IF(D42&gt;=1000,"⚡ Notable Expense","—"))</f>
        <v/>
      </c>
    </row>
    <row r="43">
      <c r="A43" s="39" t="inlineStr"/>
      <c r="B43" s="39" t="inlineStr"/>
      <c r="C43" s="39" t="inlineStr"/>
      <c r="D43" s="41" t="inlineStr"/>
      <c r="E43" s="41" t="inlineStr"/>
      <c r="F43" s="41" t="inlineStr"/>
      <c r="G43" s="39" t="inlineStr"/>
      <c r="H43" s="26">
        <f>IF(C43="","",IF(E43&gt;0,"INCOME",IF(D43&gt;0,"EXPENSE","NEUTRAL")))</f>
        <v/>
      </c>
      <c r="I43" s="39">
        <f>IF(C43="","",=IF(OR(ISNUMBER(SEARCH("STIPEND",C43)),ISNUMBER(SEARCH("SIGMASOFT",C43)),ISNUMBER(SEARCH("SALARY",C43))),"Internship Stipend",IF(OR(ISNUMBER(SEARCH("FAMILY",C43)),ISNUMBER(SEARCH("PAPA",C43)),ISNUMBER(SEARCH("MOM",C43)),ISNUMBER(SEARCH("FATHER",C43))),"Family Support",IF(OR(ISNUMBER(SEARCH("PG",C43)),ISNUMBER(SEARCH("RENT",C43)),ISNUMBER(SEARCH("STANZA",C43)),ISNUMBER(SEARCH("ZOLO",C43))),"PG Rent &amp; Covered Meals",IF(OR(ISNUMBER(SEARCH("GROWW",C43)),ISNUMBER(SEARCH("ZERODHA",C43)),ISNUMBER(SEARCH("MUTUAL",C43)),ISNUMBER(SEARCH("SIP",C43)),ISNUMBER(SEARCH("NIPPON",C43))),"Monthly SIP Investment",IF(OR(ISNUMBER(SEARCH("BMTC",C43)),ISNUMBER(SEARCH("BUS",C43)),ISNUMBER(SEARCH("METRO",C43)),ISNUMBER(SEARCH("CHALO",C43))),"BMTC Bus Commute",IF(OR(ISNUMBER(SEARCH("SWIGGY",C43)),ISNUMBER(SEARCH("ZOMATO",C43)),ISNUMBER(SEARCH("CANTEEN",C43)),ISNUMBER(SEARCH("LUNCH",C43)),ISNUMBER(SEARCH("FOOD",C43)),ISNUMBER(SEARCH("SUBWAY",C43))),"Daily Office Lunch (Mon–Sat)",IF(OR(ISNUMBER(SEARCH("BLINKIT",C43)),ISNUMBER(SEARCH("ZEPTO",C43)),ISNUMBER(SEARCH("RECHARGE",C43)),ISNUMBER(SEARCH("JIO",C43)),ISNUMBER(SEARCH("AIRTEL",C43)),ISNUMBER(SEARCH("PHARMACY",C43)),ISNUMBER(SEARCH("APOLLO",C43)),ISNUMBER(SEARCH("ESSENTIALS",C43)),ISNUMBER(SEARCH("LIFESTYLE",C43))),"Lifestyle &amp; Personal Essentials",IF(OR(ISNUMBER(SEARCH("EMERGENCY",C43)),ISNUMBER(SEARCH("SWEEP",C43)),ISNUMBER(SEARCH("RESERVE",C43))),"Emergency Fund Allocation","Unallocated Flex Buffer")))))))))</f>
        <v/>
      </c>
      <c r="J43" s="39" t="inlineStr"/>
      <c r="K43" s="23">
        <f>IF(C43="","",IF(J43&lt;&gt;"",J43,I43))</f>
        <v/>
      </c>
      <c r="L43" s="40">
        <f>IF(A43="","",IF(ISNUMBER(A43),TEXT(A43,"mmm-yyyy"),"Oct-2026"))</f>
        <v/>
      </c>
      <c r="M43" s="40">
        <f>IF(D43&gt;=5000,"🚨 High Value Debit (₹"&amp;TEXT(D43,"#,##0")&amp;")",IF(D43&gt;=1000,"⚡ Notable Expense","—"))</f>
        <v/>
      </c>
    </row>
    <row r="44">
      <c r="A44" s="39" t="inlineStr"/>
      <c r="B44" s="39" t="inlineStr"/>
      <c r="C44" s="39" t="inlineStr"/>
      <c r="D44" s="41" t="inlineStr"/>
      <c r="E44" s="41" t="inlineStr"/>
      <c r="F44" s="41" t="inlineStr"/>
      <c r="G44" s="39" t="inlineStr"/>
      <c r="H44" s="26">
        <f>IF(C44="","",IF(E44&gt;0,"INCOME",IF(D44&gt;0,"EXPENSE","NEUTRAL")))</f>
        <v/>
      </c>
      <c r="I44" s="39">
        <f>IF(C44="","",=IF(OR(ISNUMBER(SEARCH("STIPEND",C44)),ISNUMBER(SEARCH("SIGMASOFT",C44)),ISNUMBER(SEARCH("SALARY",C44))),"Internship Stipend",IF(OR(ISNUMBER(SEARCH("FAMILY",C44)),ISNUMBER(SEARCH("PAPA",C44)),ISNUMBER(SEARCH("MOM",C44)),ISNUMBER(SEARCH("FATHER",C44))),"Family Support",IF(OR(ISNUMBER(SEARCH("PG",C44)),ISNUMBER(SEARCH("RENT",C44)),ISNUMBER(SEARCH("STANZA",C44)),ISNUMBER(SEARCH("ZOLO",C44))),"PG Rent &amp; Covered Meals",IF(OR(ISNUMBER(SEARCH("GROWW",C44)),ISNUMBER(SEARCH("ZERODHA",C44)),ISNUMBER(SEARCH("MUTUAL",C44)),ISNUMBER(SEARCH("SIP",C44)),ISNUMBER(SEARCH("NIPPON",C44))),"Monthly SIP Investment",IF(OR(ISNUMBER(SEARCH("BMTC",C44)),ISNUMBER(SEARCH("BUS",C44)),ISNUMBER(SEARCH("METRO",C44)),ISNUMBER(SEARCH("CHALO",C44))),"BMTC Bus Commute",IF(OR(ISNUMBER(SEARCH("SWIGGY",C44)),ISNUMBER(SEARCH("ZOMATO",C44)),ISNUMBER(SEARCH("CANTEEN",C44)),ISNUMBER(SEARCH("LUNCH",C44)),ISNUMBER(SEARCH("FOOD",C44)),ISNUMBER(SEARCH("SUBWAY",C44))),"Daily Office Lunch (Mon–Sat)",IF(OR(ISNUMBER(SEARCH("BLINKIT",C44)),ISNUMBER(SEARCH("ZEPTO",C44)),ISNUMBER(SEARCH("RECHARGE",C44)),ISNUMBER(SEARCH("JIO",C44)),ISNUMBER(SEARCH("AIRTEL",C44)),ISNUMBER(SEARCH("PHARMACY",C44)),ISNUMBER(SEARCH("APOLLO",C44)),ISNUMBER(SEARCH("ESSENTIALS",C44)),ISNUMBER(SEARCH("LIFESTYLE",C44))),"Lifestyle &amp; Personal Essentials",IF(OR(ISNUMBER(SEARCH("EMERGENCY",C44)),ISNUMBER(SEARCH("SWEEP",C44)),ISNUMBER(SEARCH("RESERVE",C44))),"Emergency Fund Allocation","Unallocated Flex Buffer")))))))))</f>
        <v/>
      </c>
      <c r="J44" s="39" t="inlineStr"/>
      <c r="K44" s="23">
        <f>IF(C44="","",IF(J44&lt;&gt;"",J44,I44))</f>
        <v/>
      </c>
      <c r="L44" s="40">
        <f>IF(A44="","",IF(ISNUMBER(A44),TEXT(A44,"mmm-yyyy"),"Oct-2026"))</f>
        <v/>
      </c>
      <c r="M44" s="40">
        <f>IF(D44&gt;=5000,"🚨 High Value Debit (₹"&amp;TEXT(D44,"#,##0")&amp;")",IF(D44&gt;=1000,"⚡ Notable Expense","—"))</f>
        <v/>
      </c>
    </row>
    <row r="45">
      <c r="A45" s="39" t="inlineStr"/>
      <c r="B45" s="39" t="inlineStr"/>
      <c r="C45" s="39" t="inlineStr"/>
      <c r="D45" s="41" t="inlineStr"/>
      <c r="E45" s="41" t="inlineStr"/>
      <c r="F45" s="41" t="inlineStr"/>
      <c r="G45" s="39" t="inlineStr"/>
      <c r="H45" s="26">
        <f>IF(C45="","",IF(E45&gt;0,"INCOME",IF(D45&gt;0,"EXPENSE","NEUTRAL")))</f>
        <v/>
      </c>
      <c r="I45" s="39">
        <f>IF(C45="","",=IF(OR(ISNUMBER(SEARCH("STIPEND",C45)),ISNUMBER(SEARCH("SIGMASOFT",C45)),ISNUMBER(SEARCH("SALARY",C45))),"Internship Stipend",IF(OR(ISNUMBER(SEARCH("FAMILY",C45)),ISNUMBER(SEARCH("PAPA",C45)),ISNUMBER(SEARCH("MOM",C45)),ISNUMBER(SEARCH("FATHER",C45))),"Family Support",IF(OR(ISNUMBER(SEARCH("PG",C45)),ISNUMBER(SEARCH("RENT",C45)),ISNUMBER(SEARCH("STANZA",C45)),ISNUMBER(SEARCH("ZOLO",C45))),"PG Rent &amp; Covered Meals",IF(OR(ISNUMBER(SEARCH("GROWW",C45)),ISNUMBER(SEARCH("ZERODHA",C45)),ISNUMBER(SEARCH("MUTUAL",C45)),ISNUMBER(SEARCH("SIP",C45)),ISNUMBER(SEARCH("NIPPON",C45))),"Monthly SIP Investment",IF(OR(ISNUMBER(SEARCH("BMTC",C45)),ISNUMBER(SEARCH("BUS",C45)),ISNUMBER(SEARCH("METRO",C45)),ISNUMBER(SEARCH("CHALO",C45))),"BMTC Bus Commute",IF(OR(ISNUMBER(SEARCH("SWIGGY",C45)),ISNUMBER(SEARCH("ZOMATO",C45)),ISNUMBER(SEARCH("CANTEEN",C45)),ISNUMBER(SEARCH("LUNCH",C45)),ISNUMBER(SEARCH("FOOD",C45)),ISNUMBER(SEARCH("SUBWAY",C45))),"Daily Office Lunch (Mon–Sat)",IF(OR(ISNUMBER(SEARCH("BLINKIT",C45)),ISNUMBER(SEARCH("ZEPTO",C45)),ISNUMBER(SEARCH("RECHARGE",C45)),ISNUMBER(SEARCH("JIO",C45)),ISNUMBER(SEARCH("AIRTEL",C45)),ISNUMBER(SEARCH("PHARMACY",C45)),ISNUMBER(SEARCH("APOLLO",C45)),ISNUMBER(SEARCH("ESSENTIALS",C45)),ISNUMBER(SEARCH("LIFESTYLE",C45))),"Lifestyle &amp; Personal Essentials",IF(OR(ISNUMBER(SEARCH("EMERGENCY",C45)),ISNUMBER(SEARCH("SWEEP",C45)),ISNUMBER(SEARCH("RESERVE",C45))),"Emergency Fund Allocation","Unallocated Flex Buffer")))))))))</f>
        <v/>
      </c>
      <c r="J45" s="39" t="inlineStr"/>
      <c r="K45" s="23">
        <f>IF(C45="","",IF(J45&lt;&gt;"",J45,I45))</f>
        <v/>
      </c>
      <c r="L45" s="40">
        <f>IF(A45="","",IF(ISNUMBER(A45),TEXT(A45,"mmm-yyyy"),"Oct-2026"))</f>
        <v/>
      </c>
      <c r="M45" s="40">
        <f>IF(D45&gt;=5000,"🚨 High Value Debit (₹"&amp;TEXT(D45,"#,##0")&amp;")",IF(D45&gt;=1000,"⚡ Notable Expense","—"))</f>
        <v/>
      </c>
    </row>
    <row r="46">
      <c r="A46" s="39" t="inlineStr"/>
      <c r="B46" s="39" t="inlineStr"/>
      <c r="C46" s="39" t="inlineStr"/>
      <c r="D46" s="41" t="inlineStr"/>
      <c r="E46" s="41" t="inlineStr"/>
      <c r="F46" s="41" t="inlineStr"/>
      <c r="G46" s="39" t="inlineStr"/>
      <c r="H46" s="26">
        <f>IF(C46="","",IF(E46&gt;0,"INCOME",IF(D46&gt;0,"EXPENSE","NEUTRAL")))</f>
        <v/>
      </c>
      <c r="I46" s="39">
        <f>IF(C46="","",=IF(OR(ISNUMBER(SEARCH("STIPEND",C46)),ISNUMBER(SEARCH("SIGMASOFT",C46)),ISNUMBER(SEARCH("SALARY",C46))),"Internship Stipend",IF(OR(ISNUMBER(SEARCH("FAMILY",C46)),ISNUMBER(SEARCH("PAPA",C46)),ISNUMBER(SEARCH("MOM",C46)),ISNUMBER(SEARCH("FATHER",C46))),"Family Support",IF(OR(ISNUMBER(SEARCH("PG",C46)),ISNUMBER(SEARCH("RENT",C46)),ISNUMBER(SEARCH("STANZA",C46)),ISNUMBER(SEARCH("ZOLO",C46))),"PG Rent &amp; Covered Meals",IF(OR(ISNUMBER(SEARCH("GROWW",C46)),ISNUMBER(SEARCH("ZERODHA",C46)),ISNUMBER(SEARCH("MUTUAL",C46)),ISNUMBER(SEARCH("SIP",C46)),ISNUMBER(SEARCH("NIPPON",C46))),"Monthly SIP Investment",IF(OR(ISNUMBER(SEARCH("BMTC",C46)),ISNUMBER(SEARCH("BUS",C46)),ISNUMBER(SEARCH("METRO",C46)),ISNUMBER(SEARCH("CHALO",C46))),"BMTC Bus Commute",IF(OR(ISNUMBER(SEARCH("SWIGGY",C46)),ISNUMBER(SEARCH("ZOMATO",C46)),ISNUMBER(SEARCH("CANTEEN",C46)),ISNUMBER(SEARCH("LUNCH",C46)),ISNUMBER(SEARCH("FOOD",C46)),ISNUMBER(SEARCH("SUBWAY",C46))),"Daily Office Lunch (Mon–Sat)",IF(OR(ISNUMBER(SEARCH("BLINKIT",C46)),ISNUMBER(SEARCH("ZEPTO",C46)),ISNUMBER(SEARCH("RECHARGE",C46)),ISNUMBER(SEARCH("JIO",C46)),ISNUMBER(SEARCH("AIRTEL",C46)),ISNUMBER(SEARCH("PHARMACY",C46)),ISNUMBER(SEARCH("APOLLO",C46)),ISNUMBER(SEARCH("ESSENTIALS",C46)),ISNUMBER(SEARCH("LIFESTYLE",C46))),"Lifestyle &amp; Personal Essentials",IF(OR(ISNUMBER(SEARCH("EMERGENCY",C46)),ISNUMBER(SEARCH("SWEEP",C46)),ISNUMBER(SEARCH("RESERVE",C46))),"Emergency Fund Allocation","Unallocated Flex Buffer")))))))))</f>
        <v/>
      </c>
      <c r="J46" s="39" t="inlineStr"/>
      <c r="K46" s="23">
        <f>IF(C46="","",IF(J46&lt;&gt;"",J46,I46))</f>
        <v/>
      </c>
      <c r="L46" s="40">
        <f>IF(A46="","",IF(ISNUMBER(A46),TEXT(A46,"mmm-yyyy"),"Oct-2026"))</f>
        <v/>
      </c>
      <c r="M46" s="40">
        <f>IF(D46&gt;=5000,"🚨 High Value Debit (₹"&amp;TEXT(D46,"#,##0")&amp;")",IF(D46&gt;=1000,"⚡ Notable Expense","—"))</f>
        <v/>
      </c>
    </row>
    <row r="47">
      <c r="A47" s="39" t="inlineStr"/>
      <c r="B47" s="39" t="inlineStr"/>
      <c r="C47" s="39" t="inlineStr"/>
      <c r="D47" s="41" t="inlineStr"/>
      <c r="E47" s="41" t="inlineStr"/>
      <c r="F47" s="41" t="inlineStr"/>
      <c r="G47" s="39" t="inlineStr"/>
      <c r="H47" s="26">
        <f>IF(C47="","",IF(E47&gt;0,"INCOME",IF(D47&gt;0,"EXPENSE","NEUTRAL")))</f>
        <v/>
      </c>
      <c r="I47" s="39">
        <f>IF(C47="","",=IF(OR(ISNUMBER(SEARCH("STIPEND",C47)),ISNUMBER(SEARCH("SIGMASOFT",C47)),ISNUMBER(SEARCH("SALARY",C47))),"Internship Stipend",IF(OR(ISNUMBER(SEARCH("FAMILY",C47)),ISNUMBER(SEARCH("PAPA",C47)),ISNUMBER(SEARCH("MOM",C47)),ISNUMBER(SEARCH("FATHER",C47))),"Family Support",IF(OR(ISNUMBER(SEARCH("PG",C47)),ISNUMBER(SEARCH("RENT",C47)),ISNUMBER(SEARCH("STANZA",C47)),ISNUMBER(SEARCH("ZOLO",C47))),"PG Rent &amp; Covered Meals",IF(OR(ISNUMBER(SEARCH("GROWW",C47)),ISNUMBER(SEARCH("ZERODHA",C47)),ISNUMBER(SEARCH("MUTUAL",C47)),ISNUMBER(SEARCH("SIP",C47)),ISNUMBER(SEARCH("NIPPON",C47))),"Monthly SIP Investment",IF(OR(ISNUMBER(SEARCH("BMTC",C47)),ISNUMBER(SEARCH("BUS",C47)),ISNUMBER(SEARCH("METRO",C47)),ISNUMBER(SEARCH("CHALO",C47))),"BMTC Bus Commute",IF(OR(ISNUMBER(SEARCH("SWIGGY",C47)),ISNUMBER(SEARCH("ZOMATO",C47)),ISNUMBER(SEARCH("CANTEEN",C47)),ISNUMBER(SEARCH("LUNCH",C47)),ISNUMBER(SEARCH("FOOD",C47)),ISNUMBER(SEARCH("SUBWAY",C47))),"Daily Office Lunch (Mon–Sat)",IF(OR(ISNUMBER(SEARCH("BLINKIT",C47)),ISNUMBER(SEARCH("ZEPTO",C47)),ISNUMBER(SEARCH("RECHARGE",C47)),ISNUMBER(SEARCH("JIO",C47)),ISNUMBER(SEARCH("AIRTEL",C47)),ISNUMBER(SEARCH("PHARMACY",C47)),ISNUMBER(SEARCH("APOLLO",C47)),ISNUMBER(SEARCH("ESSENTIALS",C47)),ISNUMBER(SEARCH("LIFESTYLE",C47))),"Lifestyle &amp; Personal Essentials",IF(OR(ISNUMBER(SEARCH("EMERGENCY",C47)),ISNUMBER(SEARCH("SWEEP",C47)),ISNUMBER(SEARCH("RESERVE",C47))),"Emergency Fund Allocation","Unallocated Flex Buffer")))))))))</f>
        <v/>
      </c>
      <c r="J47" s="39" t="inlineStr"/>
      <c r="K47" s="23">
        <f>IF(C47="","",IF(J47&lt;&gt;"",J47,I47))</f>
        <v/>
      </c>
      <c r="L47" s="40">
        <f>IF(A47="","",IF(ISNUMBER(A47),TEXT(A47,"mmm-yyyy"),"Oct-2026"))</f>
        <v/>
      </c>
      <c r="M47" s="40">
        <f>IF(D47&gt;=5000,"🚨 High Value Debit (₹"&amp;TEXT(D47,"#,##0")&amp;")",IF(D47&gt;=1000,"⚡ Notable Expense","—"))</f>
        <v/>
      </c>
    </row>
    <row r="48">
      <c r="A48" s="39" t="inlineStr"/>
      <c r="B48" s="39" t="inlineStr"/>
      <c r="C48" s="39" t="inlineStr"/>
      <c r="D48" s="41" t="inlineStr"/>
      <c r="E48" s="41" t="inlineStr"/>
      <c r="F48" s="41" t="inlineStr"/>
      <c r="G48" s="39" t="inlineStr"/>
      <c r="H48" s="26">
        <f>IF(C48="","",IF(E48&gt;0,"INCOME",IF(D48&gt;0,"EXPENSE","NEUTRAL")))</f>
        <v/>
      </c>
      <c r="I48" s="39">
        <f>IF(C48="","",=IF(OR(ISNUMBER(SEARCH("STIPEND",C48)),ISNUMBER(SEARCH("SIGMASOFT",C48)),ISNUMBER(SEARCH("SALARY",C48))),"Internship Stipend",IF(OR(ISNUMBER(SEARCH("FAMILY",C48)),ISNUMBER(SEARCH("PAPA",C48)),ISNUMBER(SEARCH("MOM",C48)),ISNUMBER(SEARCH("FATHER",C48))),"Family Support",IF(OR(ISNUMBER(SEARCH("PG",C48)),ISNUMBER(SEARCH("RENT",C48)),ISNUMBER(SEARCH("STANZA",C48)),ISNUMBER(SEARCH("ZOLO",C48))),"PG Rent &amp; Covered Meals",IF(OR(ISNUMBER(SEARCH("GROWW",C48)),ISNUMBER(SEARCH("ZERODHA",C48)),ISNUMBER(SEARCH("MUTUAL",C48)),ISNUMBER(SEARCH("SIP",C48)),ISNUMBER(SEARCH("NIPPON",C48))),"Monthly SIP Investment",IF(OR(ISNUMBER(SEARCH("BMTC",C48)),ISNUMBER(SEARCH("BUS",C48)),ISNUMBER(SEARCH("METRO",C48)),ISNUMBER(SEARCH("CHALO",C48))),"BMTC Bus Commute",IF(OR(ISNUMBER(SEARCH("SWIGGY",C48)),ISNUMBER(SEARCH("ZOMATO",C48)),ISNUMBER(SEARCH("CANTEEN",C48)),ISNUMBER(SEARCH("LUNCH",C48)),ISNUMBER(SEARCH("FOOD",C48)),ISNUMBER(SEARCH("SUBWAY",C48))),"Daily Office Lunch (Mon–Sat)",IF(OR(ISNUMBER(SEARCH("BLINKIT",C48)),ISNUMBER(SEARCH("ZEPTO",C48)),ISNUMBER(SEARCH("RECHARGE",C48)),ISNUMBER(SEARCH("JIO",C48)),ISNUMBER(SEARCH("AIRTEL",C48)),ISNUMBER(SEARCH("PHARMACY",C48)),ISNUMBER(SEARCH("APOLLO",C48)),ISNUMBER(SEARCH("ESSENTIALS",C48)),ISNUMBER(SEARCH("LIFESTYLE",C48))),"Lifestyle &amp; Personal Essentials",IF(OR(ISNUMBER(SEARCH("EMERGENCY",C48)),ISNUMBER(SEARCH("SWEEP",C48)),ISNUMBER(SEARCH("RESERVE",C48))),"Emergency Fund Allocation","Unallocated Flex Buffer")))))))))</f>
        <v/>
      </c>
      <c r="J48" s="39" t="inlineStr"/>
      <c r="K48" s="23">
        <f>IF(C48="","",IF(J48&lt;&gt;"",J48,I48))</f>
        <v/>
      </c>
      <c r="L48" s="40">
        <f>IF(A48="","",IF(ISNUMBER(A48),TEXT(A48,"mmm-yyyy"),"Oct-2026"))</f>
        <v/>
      </c>
      <c r="M48" s="40">
        <f>IF(D48&gt;=5000,"🚨 High Value Debit (₹"&amp;TEXT(D48,"#,##0")&amp;")",IF(D48&gt;=1000,"⚡ Notable Expense","—"))</f>
        <v/>
      </c>
    </row>
    <row r="49">
      <c r="A49" s="39" t="inlineStr"/>
      <c r="B49" s="39" t="inlineStr"/>
      <c r="C49" s="39" t="inlineStr"/>
      <c r="D49" s="41" t="inlineStr"/>
      <c r="E49" s="41" t="inlineStr"/>
      <c r="F49" s="41" t="inlineStr"/>
      <c r="G49" s="39" t="inlineStr"/>
      <c r="H49" s="26">
        <f>IF(C49="","",IF(E49&gt;0,"INCOME",IF(D49&gt;0,"EXPENSE","NEUTRAL")))</f>
        <v/>
      </c>
      <c r="I49" s="39">
        <f>IF(C49="","",=IF(OR(ISNUMBER(SEARCH("STIPEND",C49)),ISNUMBER(SEARCH("SIGMASOFT",C49)),ISNUMBER(SEARCH("SALARY",C49))),"Internship Stipend",IF(OR(ISNUMBER(SEARCH("FAMILY",C49)),ISNUMBER(SEARCH("PAPA",C49)),ISNUMBER(SEARCH("MOM",C49)),ISNUMBER(SEARCH("FATHER",C49))),"Family Support",IF(OR(ISNUMBER(SEARCH("PG",C49)),ISNUMBER(SEARCH("RENT",C49)),ISNUMBER(SEARCH("STANZA",C49)),ISNUMBER(SEARCH("ZOLO",C49))),"PG Rent &amp; Covered Meals",IF(OR(ISNUMBER(SEARCH("GROWW",C49)),ISNUMBER(SEARCH("ZERODHA",C49)),ISNUMBER(SEARCH("MUTUAL",C49)),ISNUMBER(SEARCH("SIP",C49)),ISNUMBER(SEARCH("NIPPON",C49))),"Monthly SIP Investment",IF(OR(ISNUMBER(SEARCH("BMTC",C49)),ISNUMBER(SEARCH("BUS",C49)),ISNUMBER(SEARCH("METRO",C49)),ISNUMBER(SEARCH("CHALO",C49))),"BMTC Bus Commute",IF(OR(ISNUMBER(SEARCH("SWIGGY",C49)),ISNUMBER(SEARCH("ZOMATO",C49)),ISNUMBER(SEARCH("CANTEEN",C49)),ISNUMBER(SEARCH("LUNCH",C49)),ISNUMBER(SEARCH("FOOD",C49)),ISNUMBER(SEARCH("SUBWAY",C49))),"Daily Office Lunch (Mon–Sat)",IF(OR(ISNUMBER(SEARCH("BLINKIT",C49)),ISNUMBER(SEARCH("ZEPTO",C49)),ISNUMBER(SEARCH("RECHARGE",C49)),ISNUMBER(SEARCH("JIO",C49)),ISNUMBER(SEARCH("AIRTEL",C49)),ISNUMBER(SEARCH("PHARMACY",C49)),ISNUMBER(SEARCH("APOLLO",C49)),ISNUMBER(SEARCH("ESSENTIALS",C49)),ISNUMBER(SEARCH("LIFESTYLE",C49))),"Lifestyle &amp; Personal Essentials",IF(OR(ISNUMBER(SEARCH("EMERGENCY",C49)),ISNUMBER(SEARCH("SWEEP",C49)),ISNUMBER(SEARCH("RESERVE",C49))),"Emergency Fund Allocation","Unallocated Flex Buffer")))))))))</f>
        <v/>
      </c>
      <c r="J49" s="39" t="inlineStr"/>
      <c r="K49" s="23">
        <f>IF(C49="","",IF(J49&lt;&gt;"",J49,I49))</f>
        <v/>
      </c>
      <c r="L49" s="40">
        <f>IF(A49="","",IF(ISNUMBER(A49),TEXT(A49,"mmm-yyyy"),"Oct-2026"))</f>
        <v/>
      </c>
      <c r="M49" s="40">
        <f>IF(D49&gt;=5000,"🚨 High Value Debit (₹"&amp;TEXT(D49,"#,##0")&amp;")",IF(D49&gt;=1000,"⚡ Notable Expense","—"))</f>
        <v/>
      </c>
    </row>
    <row r="50">
      <c r="A50" s="39" t="inlineStr"/>
      <c r="B50" s="39" t="inlineStr"/>
      <c r="C50" s="39" t="inlineStr"/>
      <c r="D50" s="41" t="inlineStr"/>
      <c r="E50" s="41" t="inlineStr"/>
      <c r="F50" s="41" t="inlineStr"/>
      <c r="G50" s="39" t="inlineStr"/>
      <c r="H50" s="26">
        <f>IF(C50="","",IF(E50&gt;0,"INCOME",IF(D50&gt;0,"EXPENSE","NEUTRAL")))</f>
        <v/>
      </c>
      <c r="I50" s="39">
        <f>IF(C50="","",=IF(OR(ISNUMBER(SEARCH("STIPEND",C50)),ISNUMBER(SEARCH("SIGMASOFT",C50)),ISNUMBER(SEARCH("SALARY",C50))),"Internship Stipend",IF(OR(ISNUMBER(SEARCH("FAMILY",C50)),ISNUMBER(SEARCH("PAPA",C50)),ISNUMBER(SEARCH("MOM",C50)),ISNUMBER(SEARCH("FATHER",C50))),"Family Support",IF(OR(ISNUMBER(SEARCH("PG",C50)),ISNUMBER(SEARCH("RENT",C50)),ISNUMBER(SEARCH("STANZA",C50)),ISNUMBER(SEARCH("ZOLO",C50))),"PG Rent &amp; Covered Meals",IF(OR(ISNUMBER(SEARCH("GROWW",C50)),ISNUMBER(SEARCH("ZERODHA",C50)),ISNUMBER(SEARCH("MUTUAL",C50)),ISNUMBER(SEARCH("SIP",C50)),ISNUMBER(SEARCH("NIPPON",C50))),"Monthly SIP Investment",IF(OR(ISNUMBER(SEARCH("BMTC",C50)),ISNUMBER(SEARCH("BUS",C50)),ISNUMBER(SEARCH("METRO",C50)),ISNUMBER(SEARCH("CHALO",C50))),"BMTC Bus Commute",IF(OR(ISNUMBER(SEARCH("SWIGGY",C50)),ISNUMBER(SEARCH("ZOMATO",C50)),ISNUMBER(SEARCH("CANTEEN",C50)),ISNUMBER(SEARCH("LUNCH",C50)),ISNUMBER(SEARCH("FOOD",C50)),ISNUMBER(SEARCH("SUBWAY",C50))),"Daily Office Lunch (Mon–Sat)",IF(OR(ISNUMBER(SEARCH("BLINKIT",C50)),ISNUMBER(SEARCH("ZEPTO",C50)),ISNUMBER(SEARCH("RECHARGE",C50)),ISNUMBER(SEARCH("JIO",C50)),ISNUMBER(SEARCH("AIRTEL",C50)),ISNUMBER(SEARCH("PHARMACY",C50)),ISNUMBER(SEARCH("APOLLO",C50)),ISNUMBER(SEARCH("ESSENTIALS",C50)),ISNUMBER(SEARCH("LIFESTYLE",C50))),"Lifestyle &amp; Personal Essentials",IF(OR(ISNUMBER(SEARCH("EMERGENCY",C50)),ISNUMBER(SEARCH("SWEEP",C50)),ISNUMBER(SEARCH("RESERVE",C50))),"Emergency Fund Allocation","Unallocated Flex Buffer")))))))))</f>
        <v/>
      </c>
      <c r="J50" s="39" t="inlineStr"/>
      <c r="K50" s="23">
        <f>IF(C50="","",IF(J50&lt;&gt;"",J50,I50))</f>
        <v/>
      </c>
      <c r="L50" s="40">
        <f>IF(A50="","",IF(ISNUMBER(A50),TEXT(A50,"mmm-yyyy"),"Oct-2026"))</f>
        <v/>
      </c>
      <c r="M50" s="40">
        <f>IF(D50&gt;=5000,"🚨 High Value Debit (₹"&amp;TEXT(D50,"#,##0")&amp;")",IF(D50&gt;=1000,"⚡ Notable Expense","—"))</f>
        <v/>
      </c>
    </row>
    <row r="51">
      <c r="A51" s="39" t="inlineStr"/>
      <c r="B51" s="39" t="inlineStr"/>
      <c r="C51" s="39" t="inlineStr"/>
      <c r="D51" s="41" t="inlineStr"/>
      <c r="E51" s="41" t="inlineStr"/>
      <c r="F51" s="41" t="inlineStr"/>
      <c r="G51" s="39" t="inlineStr"/>
      <c r="H51" s="26">
        <f>IF(C51="","",IF(E51&gt;0,"INCOME",IF(D51&gt;0,"EXPENSE","NEUTRAL")))</f>
        <v/>
      </c>
      <c r="I51" s="39">
        <f>IF(C51="","",=IF(OR(ISNUMBER(SEARCH("STIPEND",C51)),ISNUMBER(SEARCH("SIGMASOFT",C51)),ISNUMBER(SEARCH("SALARY",C51))),"Internship Stipend",IF(OR(ISNUMBER(SEARCH("FAMILY",C51)),ISNUMBER(SEARCH("PAPA",C51)),ISNUMBER(SEARCH("MOM",C51)),ISNUMBER(SEARCH("FATHER",C51))),"Family Support",IF(OR(ISNUMBER(SEARCH("PG",C51)),ISNUMBER(SEARCH("RENT",C51)),ISNUMBER(SEARCH("STANZA",C51)),ISNUMBER(SEARCH("ZOLO",C51))),"PG Rent &amp; Covered Meals",IF(OR(ISNUMBER(SEARCH("GROWW",C51)),ISNUMBER(SEARCH("ZERODHA",C51)),ISNUMBER(SEARCH("MUTUAL",C51)),ISNUMBER(SEARCH("SIP",C51)),ISNUMBER(SEARCH("NIPPON",C51))),"Monthly SIP Investment",IF(OR(ISNUMBER(SEARCH("BMTC",C51)),ISNUMBER(SEARCH("BUS",C51)),ISNUMBER(SEARCH("METRO",C51)),ISNUMBER(SEARCH("CHALO",C51))),"BMTC Bus Commute",IF(OR(ISNUMBER(SEARCH("SWIGGY",C51)),ISNUMBER(SEARCH("ZOMATO",C51)),ISNUMBER(SEARCH("CANTEEN",C51)),ISNUMBER(SEARCH("LUNCH",C51)),ISNUMBER(SEARCH("FOOD",C51)),ISNUMBER(SEARCH("SUBWAY",C51))),"Daily Office Lunch (Mon–Sat)",IF(OR(ISNUMBER(SEARCH("BLINKIT",C51)),ISNUMBER(SEARCH("ZEPTO",C51)),ISNUMBER(SEARCH("RECHARGE",C51)),ISNUMBER(SEARCH("JIO",C51)),ISNUMBER(SEARCH("AIRTEL",C51)),ISNUMBER(SEARCH("PHARMACY",C51)),ISNUMBER(SEARCH("APOLLO",C51)),ISNUMBER(SEARCH("ESSENTIALS",C51)),ISNUMBER(SEARCH("LIFESTYLE",C51))),"Lifestyle &amp; Personal Essentials",IF(OR(ISNUMBER(SEARCH("EMERGENCY",C51)),ISNUMBER(SEARCH("SWEEP",C51)),ISNUMBER(SEARCH("RESERVE",C51))),"Emergency Fund Allocation","Unallocated Flex Buffer")))))))))</f>
        <v/>
      </c>
      <c r="J51" s="39" t="inlineStr"/>
      <c r="K51" s="23">
        <f>IF(C51="","",IF(J51&lt;&gt;"",J51,I51))</f>
        <v/>
      </c>
      <c r="L51" s="40">
        <f>IF(A51="","",IF(ISNUMBER(A51),TEXT(A51,"mmm-yyyy"),"Oct-2026"))</f>
        <v/>
      </c>
      <c r="M51" s="40">
        <f>IF(D51&gt;=5000,"🚨 High Value Debit (₹"&amp;TEXT(D51,"#,##0")&amp;")",IF(D51&gt;=1000,"⚡ Notable Expense","—"))</f>
        <v/>
      </c>
    </row>
    <row r="52">
      <c r="A52" s="39" t="inlineStr"/>
      <c r="B52" s="39" t="inlineStr"/>
      <c r="C52" s="39" t="inlineStr"/>
      <c r="D52" s="41" t="inlineStr"/>
      <c r="E52" s="41" t="inlineStr"/>
      <c r="F52" s="41" t="inlineStr"/>
      <c r="G52" s="39" t="inlineStr"/>
      <c r="H52" s="26">
        <f>IF(C52="","",IF(E52&gt;0,"INCOME",IF(D52&gt;0,"EXPENSE","NEUTRAL")))</f>
        <v/>
      </c>
      <c r="I52" s="39">
        <f>IF(C52="","",=IF(OR(ISNUMBER(SEARCH("STIPEND",C52)),ISNUMBER(SEARCH("SIGMASOFT",C52)),ISNUMBER(SEARCH("SALARY",C52))),"Internship Stipend",IF(OR(ISNUMBER(SEARCH("FAMILY",C52)),ISNUMBER(SEARCH("PAPA",C52)),ISNUMBER(SEARCH("MOM",C52)),ISNUMBER(SEARCH("FATHER",C52))),"Family Support",IF(OR(ISNUMBER(SEARCH("PG",C52)),ISNUMBER(SEARCH("RENT",C52)),ISNUMBER(SEARCH("STANZA",C52)),ISNUMBER(SEARCH("ZOLO",C52))),"PG Rent &amp; Covered Meals",IF(OR(ISNUMBER(SEARCH("GROWW",C52)),ISNUMBER(SEARCH("ZERODHA",C52)),ISNUMBER(SEARCH("MUTUAL",C52)),ISNUMBER(SEARCH("SIP",C52)),ISNUMBER(SEARCH("NIPPON",C52))),"Monthly SIP Investment",IF(OR(ISNUMBER(SEARCH("BMTC",C52)),ISNUMBER(SEARCH("BUS",C52)),ISNUMBER(SEARCH("METRO",C52)),ISNUMBER(SEARCH("CHALO",C52))),"BMTC Bus Commute",IF(OR(ISNUMBER(SEARCH("SWIGGY",C52)),ISNUMBER(SEARCH("ZOMATO",C52)),ISNUMBER(SEARCH("CANTEEN",C52)),ISNUMBER(SEARCH("LUNCH",C52)),ISNUMBER(SEARCH("FOOD",C52)),ISNUMBER(SEARCH("SUBWAY",C52))),"Daily Office Lunch (Mon–Sat)",IF(OR(ISNUMBER(SEARCH("BLINKIT",C52)),ISNUMBER(SEARCH("ZEPTO",C52)),ISNUMBER(SEARCH("RECHARGE",C52)),ISNUMBER(SEARCH("JIO",C52)),ISNUMBER(SEARCH("AIRTEL",C52)),ISNUMBER(SEARCH("PHARMACY",C52)),ISNUMBER(SEARCH("APOLLO",C52)),ISNUMBER(SEARCH("ESSENTIALS",C52)),ISNUMBER(SEARCH("LIFESTYLE",C52))),"Lifestyle &amp; Personal Essentials",IF(OR(ISNUMBER(SEARCH("EMERGENCY",C52)),ISNUMBER(SEARCH("SWEEP",C52)),ISNUMBER(SEARCH("RESERVE",C52))),"Emergency Fund Allocation","Unallocated Flex Buffer")))))))))</f>
        <v/>
      </c>
      <c r="J52" s="39" t="inlineStr"/>
      <c r="K52" s="23">
        <f>IF(C52="","",IF(J52&lt;&gt;"",J52,I52))</f>
        <v/>
      </c>
      <c r="L52" s="40">
        <f>IF(A52="","",IF(ISNUMBER(A52),TEXT(A52,"mmm-yyyy"),"Oct-2026"))</f>
        <v/>
      </c>
      <c r="M52" s="40">
        <f>IF(D52&gt;=5000,"🚨 High Value Debit (₹"&amp;TEXT(D52,"#,##0")&amp;")",IF(D52&gt;=1000,"⚡ Notable Expense","—"))</f>
        <v/>
      </c>
    </row>
    <row r="53">
      <c r="A53" s="39" t="inlineStr"/>
      <c r="B53" s="39" t="inlineStr"/>
      <c r="C53" s="39" t="inlineStr"/>
      <c r="D53" s="41" t="inlineStr"/>
      <c r="E53" s="41" t="inlineStr"/>
      <c r="F53" s="41" t="inlineStr"/>
      <c r="G53" s="39" t="inlineStr"/>
      <c r="H53" s="26">
        <f>IF(C53="","",IF(E53&gt;0,"INCOME",IF(D53&gt;0,"EXPENSE","NEUTRAL")))</f>
        <v/>
      </c>
      <c r="I53" s="39">
        <f>IF(C53="","",=IF(OR(ISNUMBER(SEARCH("STIPEND",C53)),ISNUMBER(SEARCH("SIGMASOFT",C53)),ISNUMBER(SEARCH("SALARY",C53))),"Internship Stipend",IF(OR(ISNUMBER(SEARCH("FAMILY",C53)),ISNUMBER(SEARCH("PAPA",C53)),ISNUMBER(SEARCH("MOM",C53)),ISNUMBER(SEARCH("FATHER",C53))),"Family Support",IF(OR(ISNUMBER(SEARCH("PG",C53)),ISNUMBER(SEARCH("RENT",C53)),ISNUMBER(SEARCH("STANZA",C53)),ISNUMBER(SEARCH("ZOLO",C53))),"PG Rent &amp; Covered Meals",IF(OR(ISNUMBER(SEARCH("GROWW",C53)),ISNUMBER(SEARCH("ZERODHA",C53)),ISNUMBER(SEARCH("MUTUAL",C53)),ISNUMBER(SEARCH("SIP",C53)),ISNUMBER(SEARCH("NIPPON",C53))),"Monthly SIP Investment",IF(OR(ISNUMBER(SEARCH("BMTC",C53)),ISNUMBER(SEARCH("BUS",C53)),ISNUMBER(SEARCH("METRO",C53)),ISNUMBER(SEARCH("CHALO",C53))),"BMTC Bus Commute",IF(OR(ISNUMBER(SEARCH("SWIGGY",C53)),ISNUMBER(SEARCH("ZOMATO",C53)),ISNUMBER(SEARCH("CANTEEN",C53)),ISNUMBER(SEARCH("LUNCH",C53)),ISNUMBER(SEARCH("FOOD",C53)),ISNUMBER(SEARCH("SUBWAY",C53))),"Daily Office Lunch (Mon–Sat)",IF(OR(ISNUMBER(SEARCH("BLINKIT",C53)),ISNUMBER(SEARCH("ZEPTO",C53)),ISNUMBER(SEARCH("RECHARGE",C53)),ISNUMBER(SEARCH("JIO",C53)),ISNUMBER(SEARCH("AIRTEL",C53)),ISNUMBER(SEARCH("PHARMACY",C53)),ISNUMBER(SEARCH("APOLLO",C53)),ISNUMBER(SEARCH("ESSENTIALS",C53)),ISNUMBER(SEARCH("LIFESTYLE",C53))),"Lifestyle &amp; Personal Essentials",IF(OR(ISNUMBER(SEARCH("EMERGENCY",C53)),ISNUMBER(SEARCH("SWEEP",C53)),ISNUMBER(SEARCH("RESERVE",C53))),"Emergency Fund Allocation","Unallocated Flex Buffer")))))))))</f>
        <v/>
      </c>
      <c r="J53" s="39" t="inlineStr"/>
      <c r="K53" s="23">
        <f>IF(C53="","",IF(J53&lt;&gt;"",J53,I53))</f>
        <v/>
      </c>
      <c r="L53" s="40">
        <f>IF(A53="","",IF(ISNUMBER(A53),TEXT(A53,"mmm-yyyy"),"Oct-2026"))</f>
        <v/>
      </c>
      <c r="M53" s="40">
        <f>IF(D53&gt;=5000,"🚨 High Value Debit (₹"&amp;TEXT(D53,"#,##0")&amp;")",IF(D53&gt;=1000,"⚡ Notable Expense","—"))</f>
        <v/>
      </c>
    </row>
    <row r="54">
      <c r="A54" s="39" t="inlineStr"/>
      <c r="B54" s="39" t="inlineStr"/>
      <c r="C54" s="39" t="inlineStr"/>
      <c r="D54" s="41" t="inlineStr"/>
      <c r="E54" s="41" t="inlineStr"/>
      <c r="F54" s="41" t="inlineStr"/>
      <c r="G54" s="39" t="inlineStr"/>
      <c r="H54" s="26">
        <f>IF(C54="","",IF(E54&gt;0,"INCOME",IF(D54&gt;0,"EXPENSE","NEUTRAL")))</f>
        <v/>
      </c>
      <c r="I54" s="39">
        <f>IF(C54="","",=IF(OR(ISNUMBER(SEARCH("STIPEND",C54)),ISNUMBER(SEARCH("SIGMASOFT",C54)),ISNUMBER(SEARCH("SALARY",C54))),"Internship Stipend",IF(OR(ISNUMBER(SEARCH("FAMILY",C54)),ISNUMBER(SEARCH("PAPA",C54)),ISNUMBER(SEARCH("MOM",C54)),ISNUMBER(SEARCH("FATHER",C54))),"Family Support",IF(OR(ISNUMBER(SEARCH("PG",C54)),ISNUMBER(SEARCH("RENT",C54)),ISNUMBER(SEARCH("STANZA",C54)),ISNUMBER(SEARCH("ZOLO",C54))),"PG Rent &amp; Covered Meals",IF(OR(ISNUMBER(SEARCH("GROWW",C54)),ISNUMBER(SEARCH("ZERODHA",C54)),ISNUMBER(SEARCH("MUTUAL",C54)),ISNUMBER(SEARCH("SIP",C54)),ISNUMBER(SEARCH("NIPPON",C54))),"Monthly SIP Investment",IF(OR(ISNUMBER(SEARCH("BMTC",C54)),ISNUMBER(SEARCH("BUS",C54)),ISNUMBER(SEARCH("METRO",C54)),ISNUMBER(SEARCH("CHALO",C54))),"BMTC Bus Commute",IF(OR(ISNUMBER(SEARCH("SWIGGY",C54)),ISNUMBER(SEARCH("ZOMATO",C54)),ISNUMBER(SEARCH("CANTEEN",C54)),ISNUMBER(SEARCH("LUNCH",C54)),ISNUMBER(SEARCH("FOOD",C54)),ISNUMBER(SEARCH("SUBWAY",C54))),"Daily Office Lunch (Mon–Sat)",IF(OR(ISNUMBER(SEARCH("BLINKIT",C54)),ISNUMBER(SEARCH("ZEPTO",C54)),ISNUMBER(SEARCH("RECHARGE",C54)),ISNUMBER(SEARCH("JIO",C54)),ISNUMBER(SEARCH("AIRTEL",C54)),ISNUMBER(SEARCH("PHARMACY",C54)),ISNUMBER(SEARCH("APOLLO",C54)),ISNUMBER(SEARCH("ESSENTIALS",C54)),ISNUMBER(SEARCH("LIFESTYLE",C54))),"Lifestyle &amp; Personal Essentials",IF(OR(ISNUMBER(SEARCH("EMERGENCY",C54)),ISNUMBER(SEARCH("SWEEP",C54)),ISNUMBER(SEARCH("RESERVE",C54))),"Emergency Fund Allocation","Unallocated Flex Buffer")))))))))</f>
        <v/>
      </c>
      <c r="J54" s="39" t="inlineStr"/>
      <c r="K54" s="23">
        <f>IF(C54="","",IF(J54&lt;&gt;"",J54,I54))</f>
        <v/>
      </c>
      <c r="L54" s="40">
        <f>IF(A54="","",IF(ISNUMBER(A54),TEXT(A54,"mmm-yyyy"),"Oct-2026"))</f>
        <v/>
      </c>
      <c r="M54" s="40">
        <f>IF(D54&gt;=5000,"🚨 High Value Debit (₹"&amp;TEXT(D54,"#,##0")&amp;")",IF(D54&gt;=1000,"⚡ Notable Expense","—"))</f>
        <v/>
      </c>
    </row>
    <row r="55">
      <c r="A55" s="39" t="inlineStr"/>
      <c r="B55" s="39" t="inlineStr"/>
      <c r="C55" s="39" t="inlineStr"/>
      <c r="D55" s="41" t="inlineStr"/>
      <c r="E55" s="41" t="inlineStr"/>
      <c r="F55" s="41" t="inlineStr"/>
      <c r="G55" s="39" t="inlineStr"/>
      <c r="H55" s="26">
        <f>IF(C55="","",IF(E55&gt;0,"INCOME",IF(D55&gt;0,"EXPENSE","NEUTRAL")))</f>
        <v/>
      </c>
      <c r="I55" s="39">
        <f>IF(C55="","",=IF(OR(ISNUMBER(SEARCH("STIPEND",C55)),ISNUMBER(SEARCH("SIGMASOFT",C55)),ISNUMBER(SEARCH("SALARY",C55))),"Internship Stipend",IF(OR(ISNUMBER(SEARCH("FAMILY",C55)),ISNUMBER(SEARCH("PAPA",C55)),ISNUMBER(SEARCH("MOM",C55)),ISNUMBER(SEARCH("FATHER",C55))),"Family Support",IF(OR(ISNUMBER(SEARCH("PG",C55)),ISNUMBER(SEARCH("RENT",C55)),ISNUMBER(SEARCH("STANZA",C55)),ISNUMBER(SEARCH("ZOLO",C55))),"PG Rent &amp; Covered Meals",IF(OR(ISNUMBER(SEARCH("GROWW",C55)),ISNUMBER(SEARCH("ZERODHA",C55)),ISNUMBER(SEARCH("MUTUAL",C55)),ISNUMBER(SEARCH("SIP",C55)),ISNUMBER(SEARCH("NIPPON",C55))),"Monthly SIP Investment",IF(OR(ISNUMBER(SEARCH("BMTC",C55)),ISNUMBER(SEARCH("BUS",C55)),ISNUMBER(SEARCH("METRO",C55)),ISNUMBER(SEARCH("CHALO",C55))),"BMTC Bus Commute",IF(OR(ISNUMBER(SEARCH("SWIGGY",C55)),ISNUMBER(SEARCH("ZOMATO",C55)),ISNUMBER(SEARCH("CANTEEN",C55)),ISNUMBER(SEARCH("LUNCH",C55)),ISNUMBER(SEARCH("FOOD",C55)),ISNUMBER(SEARCH("SUBWAY",C55))),"Daily Office Lunch (Mon–Sat)",IF(OR(ISNUMBER(SEARCH("BLINKIT",C55)),ISNUMBER(SEARCH("ZEPTO",C55)),ISNUMBER(SEARCH("RECHARGE",C55)),ISNUMBER(SEARCH("JIO",C55)),ISNUMBER(SEARCH("AIRTEL",C55)),ISNUMBER(SEARCH("PHARMACY",C55)),ISNUMBER(SEARCH("APOLLO",C55)),ISNUMBER(SEARCH("ESSENTIALS",C55)),ISNUMBER(SEARCH("LIFESTYLE",C55))),"Lifestyle &amp; Personal Essentials",IF(OR(ISNUMBER(SEARCH("EMERGENCY",C55)),ISNUMBER(SEARCH("SWEEP",C55)),ISNUMBER(SEARCH("RESERVE",C55))),"Emergency Fund Allocation","Unallocated Flex Buffer")))))))))</f>
        <v/>
      </c>
      <c r="J55" s="39" t="inlineStr"/>
      <c r="K55" s="23">
        <f>IF(C55="","",IF(J55&lt;&gt;"",J55,I55))</f>
        <v/>
      </c>
      <c r="L55" s="40">
        <f>IF(A55="","",IF(ISNUMBER(A55),TEXT(A55,"mmm-yyyy"),"Oct-2026"))</f>
        <v/>
      </c>
      <c r="M55" s="40">
        <f>IF(D55&gt;=5000,"🚨 High Value Debit (₹"&amp;TEXT(D55,"#,##0")&amp;")",IF(D55&gt;=1000,"⚡ Notable Expense","—"))</f>
        <v/>
      </c>
    </row>
    <row r="56">
      <c r="A56" s="39" t="inlineStr"/>
      <c r="B56" s="39" t="inlineStr"/>
      <c r="C56" s="39" t="inlineStr"/>
      <c r="D56" s="41" t="inlineStr"/>
      <c r="E56" s="41" t="inlineStr"/>
      <c r="F56" s="41" t="inlineStr"/>
      <c r="G56" s="39" t="inlineStr"/>
      <c r="H56" s="26">
        <f>IF(C56="","",IF(E56&gt;0,"INCOME",IF(D56&gt;0,"EXPENSE","NEUTRAL")))</f>
        <v/>
      </c>
      <c r="I56" s="39">
        <f>IF(C56="","",=IF(OR(ISNUMBER(SEARCH("STIPEND",C56)),ISNUMBER(SEARCH("SIGMASOFT",C56)),ISNUMBER(SEARCH("SALARY",C56))),"Internship Stipend",IF(OR(ISNUMBER(SEARCH("FAMILY",C56)),ISNUMBER(SEARCH("PAPA",C56)),ISNUMBER(SEARCH("MOM",C56)),ISNUMBER(SEARCH("FATHER",C56))),"Family Support",IF(OR(ISNUMBER(SEARCH("PG",C56)),ISNUMBER(SEARCH("RENT",C56)),ISNUMBER(SEARCH("STANZA",C56)),ISNUMBER(SEARCH("ZOLO",C56))),"PG Rent &amp; Covered Meals",IF(OR(ISNUMBER(SEARCH("GROWW",C56)),ISNUMBER(SEARCH("ZERODHA",C56)),ISNUMBER(SEARCH("MUTUAL",C56)),ISNUMBER(SEARCH("SIP",C56)),ISNUMBER(SEARCH("NIPPON",C56))),"Monthly SIP Investment",IF(OR(ISNUMBER(SEARCH("BMTC",C56)),ISNUMBER(SEARCH("BUS",C56)),ISNUMBER(SEARCH("METRO",C56)),ISNUMBER(SEARCH("CHALO",C56))),"BMTC Bus Commute",IF(OR(ISNUMBER(SEARCH("SWIGGY",C56)),ISNUMBER(SEARCH("ZOMATO",C56)),ISNUMBER(SEARCH("CANTEEN",C56)),ISNUMBER(SEARCH("LUNCH",C56)),ISNUMBER(SEARCH("FOOD",C56)),ISNUMBER(SEARCH("SUBWAY",C56))),"Daily Office Lunch (Mon–Sat)",IF(OR(ISNUMBER(SEARCH("BLINKIT",C56)),ISNUMBER(SEARCH("ZEPTO",C56)),ISNUMBER(SEARCH("RECHARGE",C56)),ISNUMBER(SEARCH("JIO",C56)),ISNUMBER(SEARCH("AIRTEL",C56)),ISNUMBER(SEARCH("PHARMACY",C56)),ISNUMBER(SEARCH("APOLLO",C56)),ISNUMBER(SEARCH("ESSENTIALS",C56)),ISNUMBER(SEARCH("LIFESTYLE",C56))),"Lifestyle &amp; Personal Essentials",IF(OR(ISNUMBER(SEARCH("EMERGENCY",C56)),ISNUMBER(SEARCH("SWEEP",C56)),ISNUMBER(SEARCH("RESERVE",C56))),"Emergency Fund Allocation","Unallocated Flex Buffer")))))))))</f>
        <v/>
      </c>
      <c r="J56" s="39" t="inlineStr"/>
      <c r="K56" s="23">
        <f>IF(C56="","",IF(J56&lt;&gt;"",J56,I56))</f>
        <v/>
      </c>
      <c r="L56" s="40">
        <f>IF(A56="","",IF(ISNUMBER(A56),TEXT(A56,"mmm-yyyy"),"Oct-2026"))</f>
        <v/>
      </c>
      <c r="M56" s="40">
        <f>IF(D56&gt;=5000,"🚨 High Value Debit (₹"&amp;TEXT(D56,"#,##0")&amp;")",IF(D56&gt;=1000,"⚡ Notable Expense","—"))</f>
        <v/>
      </c>
    </row>
    <row r="57">
      <c r="A57" s="39" t="inlineStr"/>
      <c r="B57" s="39" t="inlineStr"/>
      <c r="C57" s="39" t="inlineStr"/>
      <c r="D57" s="41" t="inlineStr"/>
      <c r="E57" s="41" t="inlineStr"/>
      <c r="F57" s="41" t="inlineStr"/>
      <c r="G57" s="39" t="inlineStr"/>
      <c r="H57" s="26">
        <f>IF(C57="","",IF(E57&gt;0,"INCOME",IF(D57&gt;0,"EXPENSE","NEUTRAL")))</f>
        <v/>
      </c>
      <c r="I57" s="39">
        <f>IF(C57="","",=IF(OR(ISNUMBER(SEARCH("STIPEND",C57)),ISNUMBER(SEARCH("SIGMASOFT",C57)),ISNUMBER(SEARCH("SALARY",C57))),"Internship Stipend",IF(OR(ISNUMBER(SEARCH("FAMILY",C57)),ISNUMBER(SEARCH("PAPA",C57)),ISNUMBER(SEARCH("MOM",C57)),ISNUMBER(SEARCH("FATHER",C57))),"Family Support",IF(OR(ISNUMBER(SEARCH("PG",C57)),ISNUMBER(SEARCH("RENT",C57)),ISNUMBER(SEARCH("STANZA",C57)),ISNUMBER(SEARCH("ZOLO",C57))),"PG Rent &amp; Covered Meals",IF(OR(ISNUMBER(SEARCH("GROWW",C57)),ISNUMBER(SEARCH("ZERODHA",C57)),ISNUMBER(SEARCH("MUTUAL",C57)),ISNUMBER(SEARCH("SIP",C57)),ISNUMBER(SEARCH("NIPPON",C57))),"Monthly SIP Investment",IF(OR(ISNUMBER(SEARCH("BMTC",C57)),ISNUMBER(SEARCH("BUS",C57)),ISNUMBER(SEARCH("METRO",C57)),ISNUMBER(SEARCH("CHALO",C57))),"BMTC Bus Commute",IF(OR(ISNUMBER(SEARCH("SWIGGY",C57)),ISNUMBER(SEARCH("ZOMATO",C57)),ISNUMBER(SEARCH("CANTEEN",C57)),ISNUMBER(SEARCH("LUNCH",C57)),ISNUMBER(SEARCH("FOOD",C57)),ISNUMBER(SEARCH("SUBWAY",C57))),"Daily Office Lunch (Mon–Sat)",IF(OR(ISNUMBER(SEARCH("BLINKIT",C57)),ISNUMBER(SEARCH("ZEPTO",C57)),ISNUMBER(SEARCH("RECHARGE",C57)),ISNUMBER(SEARCH("JIO",C57)),ISNUMBER(SEARCH("AIRTEL",C57)),ISNUMBER(SEARCH("PHARMACY",C57)),ISNUMBER(SEARCH("APOLLO",C57)),ISNUMBER(SEARCH("ESSENTIALS",C57)),ISNUMBER(SEARCH("LIFESTYLE",C57))),"Lifestyle &amp; Personal Essentials",IF(OR(ISNUMBER(SEARCH("EMERGENCY",C57)),ISNUMBER(SEARCH("SWEEP",C57)),ISNUMBER(SEARCH("RESERVE",C57))),"Emergency Fund Allocation","Unallocated Flex Buffer")))))))))</f>
        <v/>
      </c>
      <c r="J57" s="39" t="inlineStr"/>
      <c r="K57" s="23">
        <f>IF(C57="","",IF(J57&lt;&gt;"",J57,I57))</f>
        <v/>
      </c>
      <c r="L57" s="40">
        <f>IF(A57="","",IF(ISNUMBER(A57),TEXT(A57,"mmm-yyyy"),"Oct-2026"))</f>
        <v/>
      </c>
      <c r="M57" s="40">
        <f>IF(D57&gt;=5000,"🚨 High Value Debit (₹"&amp;TEXT(D57,"#,##0")&amp;")",IF(D57&gt;=1000,"⚡ Notable Expense","—"))</f>
        <v/>
      </c>
    </row>
    <row r="58">
      <c r="A58" s="39" t="inlineStr"/>
      <c r="B58" s="39" t="inlineStr"/>
      <c r="C58" s="39" t="inlineStr"/>
      <c r="D58" s="41" t="inlineStr"/>
      <c r="E58" s="41" t="inlineStr"/>
      <c r="F58" s="41" t="inlineStr"/>
      <c r="G58" s="39" t="inlineStr"/>
      <c r="H58" s="26">
        <f>IF(C58="","",IF(E58&gt;0,"INCOME",IF(D58&gt;0,"EXPENSE","NEUTRAL")))</f>
        <v/>
      </c>
      <c r="I58" s="39">
        <f>IF(C58="","",=IF(OR(ISNUMBER(SEARCH("STIPEND",C58)),ISNUMBER(SEARCH("SIGMASOFT",C58)),ISNUMBER(SEARCH("SALARY",C58))),"Internship Stipend",IF(OR(ISNUMBER(SEARCH("FAMILY",C58)),ISNUMBER(SEARCH("PAPA",C58)),ISNUMBER(SEARCH("MOM",C58)),ISNUMBER(SEARCH("FATHER",C58))),"Family Support",IF(OR(ISNUMBER(SEARCH("PG",C58)),ISNUMBER(SEARCH("RENT",C58)),ISNUMBER(SEARCH("STANZA",C58)),ISNUMBER(SEARCH("ZOLO",C58))),"PG Rent &amp; Covered Meals",IF(OR(ISNUMBER(SEARCH("GROWW",C58)),ISNUMBER(SEARCH("ZERODHA",C58)),ISNUMBER(SEARCH("MUTUAL",C58)),ISNUMBER(SEARCH("SIP",C58)),ISNUMBER(SEARCH("NIPPON",C58))),"Monthly SIP Investment",IF(OR(ISNUMBER(SEARCH("BMTC",C58)),ISNUMBER(SEARCH("BUS",C58)),ISNUMBER(SEARCH("METRO",C58)),ISNUMBER(SEARCH("CHALO",C58))),"BMTC Bus Commute",IF(OR(ISNUMBER(SEARCH("SWIGGY",C58)),ISNUMBER(SEARCH("ZOMATO",C58)),ISNUMBER(SEARCH("CANTEEN",C58)),ISNUMBER(SEARCH("LUNCH",C58)),ISNUMBER(SEARCH("FOOD",C58)),ISNUMBER(SEARCH("SUBWAY",C58))),"Daily Office Lunch (Mon–Sat)",IF(OR(ISNUMBER(SEARCH("BLINKIT",C58)),ISNUMBER(SEARCH("ZEPTO",C58)),ISNUMBER(SEARCH("RECHARGE",C58)),ISNUMBER(SEARCH("JIO",C58)),ISNUMBER(SEARCH("AIRTEL",C58)),ISNUMBER(SEARCH("PHARMACY",C58)),ISNUMBER(SEARCH("APOLLO",C58)),ISNUMBER(SEARCH("ESSENTIALS",C58)),ISNUMBER(SEARCH("LIFESTYLE",C58))),"Lifestyle &amp; Personal Essentials",IF(OR(ISNUMBER(SEARCH("EMERGENCY",C58)),ISNUMBER(SEARCH("SWEEP",C58)),ISNUMBER(SEARCH("RESERVE",C58))),"Emergency Fund Allocation","Unallocated Flex Buffer")))))))))</f>
        <v/>
      </c>
      <c r="J58" s="39" t="inlineStr"/>
      <c r="K58" s="23">
        <f>IF(C58="","",IF(J58&lt;&gt;"",J58,I58))</f>
        <v/>
      </c>
      <c r="L58" s="40">
        <f>IF(A58="","",IF(ISNUMBER(A58),TEXT(A58,"mmm-yyyy"),"Oct-2026"))</f>
        <v/>
      </c>
      <c r="M58" s="40">
        <f>IF(D58&gt;=5000,"🚨 High Value Debit (₹"&amp;TEXT(D58,"#,##0")&amp;")",IF(D58&gt;=1000,"⚡ Notable Expense","—"))</f>
        <v/>
      </c>
    </row>
    <row r="59">
      <c r="A59" s="39" t="inlineStr"/>
      <c r="B59" s="39" t="inlineStr"/>
      <c r="C59" s="39" t="inlineStr"/>
      <c r="D59" s="41" t="inlineStr"/>
      <c r="E59" s="41" t="inlineStr"/>
      <c r="F59" s="41" t="inlineStr"/>
      <c r="G59" s="39" t="inlineStr"/>
      <c r="H59" s="26">
        <f>IF(C59="","",IF(E59&gt;0,"INCOME",IF(D59&gt;0,"EXPENSE","NEUTRAL")))</f>
        <v/>
      </c>
      <c r="I59" s="39">
        <f>IF(C59="","",=IF(OR(ISNUMBER(SEARCH("STIPEND",C59)),ISNUMBER(SEARCH("SIGMASOFT",C59)),ISNUMBER(SEARCH("SALARY",C59))),"Internship Stipend",IF(OR(ISNUMBER(SEARCH("FAMILY",C59)),ISNUMBER(SEARCH("PAPA",C59)),ISNUMBER(SEARCH("MOM",C59)),ISNUMBER(SEARCH("FATHER",C59))),"Family Support",IF(OR(ISNUMBER(SEARCH("PG",C59)),ISNUMBER(SEARCH("RENT",C59)),ISNUMBER(SEARCH("STANZA",C59)),ISNUMBER(SEARCH("ZOLO",C59))),"PG Rent &amp; Covered Meals",IF(OR(ISNUMBER(SEARCH("GROWW",C59)),ISNUMBER(SEARCH("ZERODHA",C59)),ISNUMBER(SEARCH("MUTUAL",C59)),ISNUMBER(SEARCH("SIP",C59)),ISNUMBER(SEARCH("NIPPON",C59))),"Monthly SIP Investment",IF(OR(ISNUMBER(SEARCH("BMTC",C59)),ISNUMBER(SEARCH("BUS",C59)),ISNUMBER(SEARCH("METRO",C59)),ISNUMBER(SEARCH("CHALO",C59))),"BMTC Bus Commute",IF(OR(ISNUMBER(SEARCH("SWIGGY",C59)),ISNUMBER(SEARCH("ZOMATO",C59)),ISNUMBER(SEARCH("CANTEEN",C59)),ISNUMBER(SEARCH("LUNCH",C59)),ISNUMBER(SEARCH("FOOD",C59)),ISNUMBER(SEARCH("SUBWAY",C59))),"Daily Office Lunch (Mon–Sat)",IF(OR(ISNUMBER(SEARCH("BLINKIT",C59)),ISNUMBER(SEARCH("ZEPTO",C59)),ISNUMBER(SEARCH("RECHARGE",C59)),ISNUMBER(SEARCH("JIO",C59)),ISNUMBER(SEARCH("AIRTEL",C59)),ISNUMBER(SEARCH("PHARMACY",C59)),ISNUMBER(SEARCH("APOLLO",C59)),ISNUMBER(SEARCH("ESSENTIALS",C59)),ISNUMBER(SEARCH("LIFESTYLE",C59))),"Lifestyle &amp; Personal Essentials",IF(OR(ISNUMBER(SEARCH("EMERGENCY",C59)),ISNUMBER(SEARCH("SWEEP",C59)),ISNUMBER(SEARCH("RESERVE",C59))),"Emergency Fund Allocation","Unallocated Flex Buffer")))))))))</f>
        <v/>
      </c>
      <c r="J59" s="39" t="inlineStr"/>
      <c r="K59" s="23">
        <f>IF(C59="","",IF(J59&lt;&gt;"",J59,I59))</f>
        <v/>
      </c>
      <c r="L59" s="40">
        <f>IF(A59="","",IF(ISNUMBER(A59),TEXT(A59,"mmm-yyyy"),"Oct-2026"))</f>
        <v/>
      </c>
      <c r="M59" s="40">
        <f>IF(D59&gt;=5000,"🚨 High Value Debit (₹"&amp;TEXT(D59,"#,##0")&amp;")",IF(D59&gt;=1000,"⚡ Notable Expense","—"))</f>
        <v/>
      </c>
    </row>
    <row r="60">
      <c r="A60" s="39" t="inlineStr"/>
      <c r="B60" s="39" t="inlineStr"/>
      <c r="C60" s="39" t="inlineStr"/>
      <c r="D60" s="41" t="inlineStr"/>
      <c r="E60" s="41" t="inlineStr"/>
      <c r="F60" s="41" t="inlineStr"/>
      <c r="G60" s="39" t="inlineStr"/>
      <c r="H60" s="26">
        <f>IF(C60="","",IF(E60&gt;0,"INCOME",IF(D60&gt;0,"EXPENSE","NEUTRAL")))</f>
        <v/>
      </c>
      <c r="I60" s="39">
        <f>IF(C60="","",=IF(OR(ISNUMBER(SEARCH("STIPEND",C60)),ISNUMBER(SEARCH("SIGMASOFT",C60)),ISNUMBER(SEARCH("SALARY",C60))),"Internship Stipend",IF(OR(ISNUMBER(SEARCH("FAMILY",C60)),ISNUMBER(SEARCH("PAPA",C60)),ISNUMBER(SEARCH("MOM",C60)),ISNUMBER(SEARCH("FATHER",C60))),"Family Support",IF(OR(ISNUMBER(SEARCH("PG",C60)),ISNUMBER(SEARCH("RENT",C60)),ISNUMBER(SEARCH("STANZA",C60)),ISNUMBER(SEARCH("ZOLO",C60))),"PG Rent &amp; Covered Meals",IF(OR(ISNUMBER(SEARCH("GROWW",C60)),ISNUMBER(SEARCH("ZERODHA",C60)),ISNUMBER(SEARCH("MUTUAL",C60)),ISNUMBER(SEARCH("SIP",C60)),ISNUMBER(SEARCH("NIPPON",C60))),"Monthly SIP Investment",IF(OR(ISNUMBER(SEARCH("BMTC",C60)),ISNUMBER(SEARCH("BUS",C60)),ISNUMBER(SEARCH("METRO",C60)),ISNUMBER(SEARCH("CHALO",C60))),"BMTC Bus Commute",IF(OR(ISNUMBER(SEARCH("SWIGGY",C60)),ISNUMBER(SEARCH("ZOMATO",C60)),ISNUMBER(SEARCH("CANTEEN",C60)),ISNUMBER(SEARCH("LUNCH",C60)),ISNUMBER(SEARCH("FOOD",C60)),ISNUMBER(SEARCH("SUBWAY",C60))),"Daily Office Lunch (Mon–Sat)",IF(OR(ISNUMBER(SEARCH("BLINKIT",C60)),ISNUMBER(SEARCH("ZEPTO",C60)),ISNUMBER(SEARCH("RECHARGE",C60)),ISNUMBER(SEARCH("JIO",C60)),ISNUMBER(SEARCH("AIRTEL",C60)),ISNUMBER(SEARCH("PHARMACY",C60)),ISNUMBER(SEARCH("APOLLO",C60)),ISNUMBER(SEARCH("ESSENTIALS",C60)),ISNUMBER(SEARCH("LIFESTYLE",C60))),"Lifestyle &amp; Personal Essentials",IF(OR(ISNUMBER(SEARCH("EMERGENCY",C60)),ISNUMBER(SEARCH("SWEEP",C60)),ISNUMBER(SEARCH("RESERVE",C60))),"Emergency Fund Allocation","Unallocated Flex Buffer")))))))))</f>
        <v/>
      </c>
      <c r="J60" s="39" t="inlineStr"/>
      <c r="K60" s="23">
        <f>IF(C60="","",IF(J60&lt;&gt;"",J60,I60))</f>
        <v/>
      </c>
      <c r="L60" s="40">
        <f>IF(A60="","",IF(ISNUMBER(A60),TEXT(A60,"mmm-yyyy"),"Oct-2026"))</f>
        <v/>
      </c>
      <c r="M60" s="40">
        <f>IF(D60&gt;=5000,"🚨 High Value Debit (₹"&amp;TEXT(D60,"#,##0")&amp;")",IF(D60&gt;=1000,"⚡ Notable Expense","—"))</f>
        <v/>
      </c>
    </row>
    <row r="61">
      <c r="A61" s="39" t="inlineStr"/>
      <c r="B61" s="39" t="inlineStr"/>
      <c r="C61" s="39" t="inlineStr"/>
      <c r="D61" s="41" t="inlineStr"/>
      <c r="E61" s="41" t="inlineStr"/>
      <c r="F61" s="41" t="inlineStr"/>
      <c r="G61" s="39" t="inlineStr"/>
      <c r="H61" s="26">
        <f>IF(C61="","",IF(E61&gt;0,"INCOME",IF(D61&gt;0,"EXPENSE","NEUTRAL")))</f>
        <v/>
      </c>
      <c r="I61" s="39">
        <f>IF(C61="","",=IF(OR(ISNUMBER(SEARCH("STIPEND",C61)),ISNUMBER(SEARCH("SIGMASOFT",C61)),ISNUMBER(SEARCH("SALARY",C61))),"Internship Stipend",IF(OR(ISNUMBER(SEARCH("FAMILY",C61)),ISNUMBER(SEARCH("PAPA",C61)),ISNUMBER(SEARCH("MOM",C61)),ISNUMBER(SEARCH("FATHER",C61))),"Family Support",IF(OR(ISNUMBER(SEARCH("PG",C61)),ISNUMBER(SEARCH("RENT",C61)),ISNUMBER(SEARCH("STANZA",C61)),ISNUMBER(SEARCH("ZOLO",C61))),"PG Rent &amp; Covered Meals",IF(OR(ISNUMBER(SEARCH("GROWW",C61)),ISNUMBER(SEARCH("ZERODHA",C61)),ISNUMBER(SEARCH("MUTUAL",C61)),ISNUMBER(SEARCH("SIP",C61)),ISNUMBER(SEARCH("NIPPON",C61))),"Monthly SIP Investment",IF(OR(ISNUMBER(SEARCH("BMTC",C61)),ISNUMBER(SEARCH("BUS",C61)),ISNUMBER(SEARCH("METRO",C61)),ISNUMBER(SEARCH("CHALO",C61))),"BMTC Bus Commute",IF(OR(ISNUMBER(SEARCH("SWIGGY",C61)),ISNUMBER(SEARCH("ZOMATO",C61)),ISNUMBER(SEARCH("CANTEEN",C61)),ISNUMBER(SEARCH("LUNCH",C61)),ISNUMBER(SEARCH("FOOD",C61)),ISNUMBER(SEARCH("SUBWAY",C61))),"Daily Office Lunch (Mon–Sat)",IF(OR(ISNUMBER(SEARCH("BLINKIT",C61)),ISNUMBER(SEARCH("ZEPTO",C61)),ISNUMBER(SEARCH("RECHARGE",C61)),ISNUMBER(SEARCH("JIO",C61)),ISNUMBER(SEARCH("AIRTEL",C61)),ISNUMBER(SEARCH("PHARMACY",C61)),ISNUMBER(SEARCH("APOLLO",C61)),ISNUMBER(SEARCH("ESSENTIALS",C61)),ISNUMBER(SEARCH("LIFESTYLE",C61))),"Lifestyle &amp; Personal Essentials",IF(OR(ISNUMBER(SEARCH("EMERGENCY",C61)),ISNUMBER(SEARCH("SWEEP",C61)),ISNUMBER(SEARCH("RESERVE",C61))),"Emergency Fund Allocation","Unallocated Flex Buffer")))))))))</f>
        <v/>
      </c>
      <c r="J61" s="39" t="inlineStr"/>
      <c r="K61" s="23">
        <f>IF(C61="","",IF(J61&lt;&gt;"",J61,I61))</f>
        <v/>
      </c>
      <c r="L61" s="40">
        <f>IF(A61="","",IF(ISNUMBER(A61),TEXT(A61,"mmm-yyyy"),"Oct-2026"))</f>
        <v/>
      </c>
      <c r="M61" s="40">
        <f>IF(D61&gt;=5000,"🚨 High Value Debit (₹"&amp;TEXT(D61,"#,##0")&amp;")",IF(D61&gt;=1000,"⚡ Notable Expense","—"))</f>
        <v/>
      </c>
    </row>
    <row r="62">
      <c r="A62" s="39" t="inlineStr"/>
      <c r="B62" s="39" t="inlineStr"/>
      <c r="C62" s="39" t="inlineStr"/>
      <c r="D62" s="41" t="inlineStr"/>
      <c r="E62" s="41" t="inlineStr"/>
      <c r="F62" s="41" t="inlineStr"/>
      <c r="G62" s="39" t="inlineStr"/>
      <c r="H62" s="26">
        <f>IF(C62="","",IF(E62&gt;0,"INCOME",IF(D62&gt;0,"EXPENSE","NEUTRAL")))</f>
        <v/>
      </c>
      <c r="I62" s="39">
        <f>IF(C62="","",=IF(OR(ISNUMBER(SEARCH("STIPEND",C62)),ISNUMBER(SEARCH("SIGMASOFT",C62)),ISNUMBER(SEARCH("SALARY",C62))),"Internship Stipend",IF(OR(ISNUMBER(SEARCH("FAMILY",C62)),ISNUMBER(SEARCH("PAPA",C62)),ISNUMBER(SEARCH("MOM",C62)),ISNUMBER(SEARCH("FATHER",C62))),"Family Support",IF(OR(ISNUMBER(SEARCH("PG",C62)),ISNUMBER(SEARCH("RENT",C62)),ISNUMBER(SEARCH("STANZA",C62)),ISNUMBER(SEARCH("ZOLO",C62))),"PG Rent &amp; Covered Meals",IF(OR(ISNUMBER(SEARCH("GROWW",C62)),ISNUMBER(SEARCH("ZERODHA",C62)),ISNUMBER(SEARCH("MUTUAL",C62)),ISNUMBER(SEARCH("SIP",C62)),ISNUMBER(SEARCH("NIPPON",C62))),"Monthly SIP Investment",IF(OR(ISNUMBER(SEARCH("BMTC",C62)),ISNUMBER(SEARCH("BUS",C62)),ISNUMBER(SEARCH("METRO",C62)),ISNUMBER(SEARCH("CHALO",C62))),"BMTC Bus Commute",IF(OR(ISNUMBER(SEARCH("SWIGGY",C62)),ISNUMBER(SEARCH("ZOMATO",C62)),ISNUMBER(SEARCH("CANTEEN",C62)),ISNUMBER(SEARCH("LUNCH",C62)),ISNUMBER(SEARCH("FOOD",C62)),ISNUMBER(SEARCH("SUBWAY",C62))),"Daily Office Lunch (Mon–Sat)",IF(OR(ISNUMBER(SEARCH("BLINKIT",C62)),ISNUMBER(SEARCH("ZEPTO",C62)),ISNUMBER(SEARCH("RECHARGE",C62)),ISNUMBER(SEARCH("JIO",C62)),ISNUMBER(SEARCH("AIRTEL",C62)),ISNUMBER(SEARCH("PHARMACY",C62)),ISNUMBER(SEARCH("APOLLO",C62)),ISNUMBER(SEARCH("ESSENTIALS",C62)),ISNUMBER(SEARCH("LIFESTYLE",C62))),"Lifestyle &amp; Personal Essentials",IF(OR(ISNUMBER(SEARCH("EMERGENCY",C62)),ISNUMBER(SEARCH("SWEEP",C62)),ISNUMBER(SEARCH("RESERVE",C62))),"Emergency Fund Allocation","Unallocated Flex Buffer")))))))))</f>
        <v/>
      </c>
      <c r="J62" s="39" t="inlineStr"/>
      <c r="K62" s="23">
        <f>IF(C62="","",IF(J62&lt;&gt;"",J62,I62))</f>
        <v/>
      </c>
      <c r="L62" s="40">
        <f>IF(A62="","",IF(ISNUMBER(A62),TEXT(A62,"mmm-yyyy"),"Oct-2026"))</f>
        <v/>
      </c>
      <c r="M62" s="40">
        <f>IF(D62&gt;=5000,"🚨 High Value Debit (₹"&amp;TEXT(D62,"#,##0")&amp;")",IF(D62&gt;=1000,"⚡ Notable Expense","—"))</f>
        <v/>
      </c>
    </row>
    <row r="63">
      <c r="A63" s="39" t="inlineStr"/>
      <c r="B63" s="39" t="inlineStr"/>
      <c r="C63" s="39" t="inlineStr"/>
      <c r="D63" s="41" t="inlineStr"/>
      <c r="E63" s="41" t="inlineStr"/>
      <c r="F63" s="41" t="inlineStr"/>
      <c r="G63" s="39" t="inlineStr"/>
      <c r="H63" s="26">
        <f>IF(C63="","",IF(E63&gt;0,"INCOME",IF(D63&gt;0,"EXPENSE","NEUTRAL")))</f>
        <v/>
      </c>
      <c r="I63" s="39">
        <f>IF(C63="","",=IF(OR(ISNUMBER(SEARCH("STIPEND",C63)),ISNUMBER(SEARCH("SIGMASOFT",C63)),ISNUMBER(SEARCH("SALARY",C63))),"Internship Stipend",IF(OR(ISNUMBER(SEARCH("FAMILY",C63)),ISNUMBER(SEARCH("PAPA",C63)),ISNUMBER(SEARCH("MOM",C63)),ISNUMBER(SEARCH("FATHER",C63))),"Family Support",IF(OR(ISNUMBER(SEARCH("PG",C63)),ISNUMBER(SEARCH("RENT",C63)),ISNUMBER(SEARCH("STANZA",C63)),ISNUMBER(SEARCH("ZOLO",C63))),"PG Rent &amp; Covered Meals",IF(OR(ISNUMBER(SEARCH("GROWW",C63)),ISNUMBER(SEARCH("ZERODHA",C63)),ISNUMBER(SEARCH("MUTUAL",C63)),ISNUMBER(SEARCH("SIP",C63)),ISNUMBER(SEARCH("NIPPON",C63))),"Monthly SIP Investment",IF(OR(ISNUMBER(SEARCH("BMTC",C63)),ISNUMBER(SEARCH("BUS",C63)),ISNUMBER(SEARCH("METRO",C63)),ISNUMBER(SEARCH("CHALO",C63))),"BMTC Bus Commute",IF(OR(ISNUMBER(SEARCH("SWIGGY",C63)),ISNUMBER(SEARCH("ZOMATO",C63)),ISNUMBER(SEARCH("CANTEEN",C63)),ISNUMBER(SEARCH("LUNCH",C63)),ISNUMBER(SEARCH("FOOD",C63)),ISNUMBER(SEARCH("SUBWAY",C63))),"Daily Office Lunch (Mon–Sat)",IF(OR(ISNUMBER(SEARCH("BLINKIT",C63)),ISNUMBER(SEARCH("ZEPTO",C63)),ISNUMBER(SEARCH("RECHARGE",C63)),ISNUMBER(SEARCH("JIO",C63)),ISNUMBER(SEARCH("AIRTEL",C63)),ISNUMBER(SEARCH("PHARMACY",C63)),ISNUMBER(SEARCH("APOLLO",C63)),ISNUMBER(SEARCH("ESSENTIALS",C63)),ISNUMBER(SEARCH("LIFESTYLE",C63))),"Lifestyle &amp; Personal Essentials",IF(OR(ISNUMBER(SEARCH("EMERGENCY",C63)),ISNUMBER(SEARCH("SWEEP",C63)),ISNUMBER(SEARCH("RESERVE",C63))),"Emergency Fund Allocation","Unallocated Flex Buffer")))))))))</f>
        <v/>
      </c>
      <c r="J63" s="39" t="inlineStr"/>
      <c r="K63" s="23">
        <f>IF(C63="","",IF(J63&lt;&gt;"",J63,I63))</f>
        <v/>
      </c>
      <c r="L63" s="40">
        <f>IF(A63="","",IF(ISNUMBER(A63),TEXT(A63,"mmm-yyyy"),"Oct-2026"))</f>
        <v/>
      </c>
      <c r="M63" s="40">
        <f>IF(D63&gt;=5000,"🚨 High Value Debit (₹"&amp;TEXT(D63,"#,##0")&amp;")",IF(D63&gt;=1000,"⚡ Notable Expense","—"))</f>
        <v/>
      </c>
    </row>
    <row r="64">
      <c r="A64" s="39" t="inlineStr"/>
      <c r="B64" s="39" t="inlineStr"/>
      <c r="C64" s="39" t="inlineStr"/>
      <c r="D64" s="41" t="inlineStr"/>
      <c r="E64" s="41" t="inlineStr"/>
      <c r="F64" s="41" t="inlineStr"/>
      <c r="G64" s="39" t="inlineStr"/>
      <c r="H64" s="26">
        <f>IF(C64="","",IF(E64&gt;0,"INCOME",IF(D64&gt;0,"EXPENSE","NEUTRAL")))</f>
        <v/>
      </c>
      <c r="I64" s="39">
        <f>IF(C64="","",=IF(OR(ISNUMBER(SEARCH("STIPEND",C64)),ISNUMBER(SEARCH("SIGMASOFT",C64)),ISNUMBER(SEARCH("SALARY",C64))),"Internship Stipend",IF(OR(ISNUMBER(SEARCH("FAMILY",C64)),ISNUMBER(SEARCH("PAPA",C64)),ISNUMBER(SEARCH("MOM",C64)),ISNUMBER(SEARCH("FATHER",C64))),"Family Support",IF(OR(ISNUMBER(SEARCH("PG",C64)),ISNUMBER(SEARCH("RENT",C64)),ISNUMBER(SEARCH("STANZA",C64)),ISNUMBER(SEARCH("ZOLO",C64))),"PG Rent &amp; Covered Meals",IF(OR(ISNUMBER(SEARCH("GROWW",C64)),ISNUMBER(SEARCH("ZERODHA",C64)),ISNUMBER(SEARCH("MUTUAL",C64)),ISNUMBER(SEARCH("SIP",C64)),ISNUMBER(SEARCH("NIPPON",C64))),"Monthly SIP Investment",IF(OR(ISNUMBER(SEARCH("BMTC",C64)),ISNUMBER(SEARCH("BUS",C64)),ISNUMBER(SEARCH("METRO",C64)),ISNUMBER(SEARCH("CHALO",C64))),"BMTC Bus Commute",IF(OR(ISNUMBER(SEARCH("SWIGGY",C64)),ISNUMBER(SEARCH("ZOMATO",C64)),ISNUMBER(SEARCH("CANTEEN",C64)),ISNUMBER(SEARCH("LUNCH",C64)),ISNUMBER(SEARCH("FOOD",C64)),ISNUMBER(SEARCH("SUBWAY",C64))),"Daily Office Lunch (Mon–Sat)",IF(OR(ISNUMBER(SEARCH("BLINKIT",C64)),ISNUMBER(SEARCH("ZEPTO",C64)),ISNUMBER(SEARCH("RECHARGE",C64)),ISNUMBER(SEARCH("JIO",C64)),ISNUMBER(SEARCH("AIRTEL",C64)),ISNUMBER(SEARCH("PHARMACY",C64)),ISNUMBER(SEARCH("APOLLO",C64)),ISNUMBER(SEARCH("ESSENTIALS",C64)),ISNUMBER(SEARCH("LIFESTYLE",C64))),"Lifestyle &amp; Personal Essentials",IF(OR(ISNUMBER(SEARCH("EMERGENCY",C64)),ISNUMBER(SEARCH("SWEEP",C64)),ISNUMBER(SEARCH("RESERVE",C64))),"Emergency Fund Allocation","Unallocated Flex Buffer")))))))))</f>
        <v/>
      </c>
      <c r="J64" s="39" t="inlineStr"/>
      <c r="K64" s="23">
        <f>IF(C64="","",IF(J64&lt;&gt;"",J64,I64))</f>
        <v/>
      </c>
      <c r="L64" s="40">
        <f>IF(A64="","",IF(ISNUMBER(A64),TEXT(A64,"mmm-yyyy"),"Oct-2026"))</f>
        <v/>
      </c>
      <c r="M64" s="40">
        <f>IF(D64&gt;=5000,"🚨 High Value Debit (₹"&amp;TEXT(D64,"#,##0")&amp;")",IF(D64&gt;=1000,"⚡ Notable Expense","—"))</f>
        <v/>
      </c>
    </row>
    <row r="65">
      <c r="A65" s="39" t="inlineStr"/>
      <c r="B65" s="39" t="inlineStr"/>
      <c r="C65" s="39" t="inlineStr"/>
      <c r="D65" s="41" t="inlineStr"/>
      <c r="E65" s="41" t="inlineStr"/>
      <c r="F65" s="41" t="inlineStr"/>
      <c r="G65" s="39" t="inlineStr"/>
      <c r="H65" s="26">
        <f>IF(C65="","",IF(E65&gt;0,"INCOME",IF(D65&gt;0,"EXPENSE","NEUTRAL")))</f>
        <v/>
      </c>
      <c r="I65" s="39">
        <f>IF(C65="","",=IF(OR(ISNUMBER(SEARCH("STIPEND",C65)),ISNUMBER(SEARCH("SIGMASOFT",C65)),ISNUMBER(SEARCH("SALARY",C65))),"Internship Stipend",IF(OR(ISNUMBER(SEARCH("FAMILY",C65)),ISNUMBER(SEARCH("PAPA",C65)),ISNUMBER(SEARCH("MOM",C65)),ISNUMBER(SEARCH("FATHER",C65))),"Family Support",IF(OR(ISNUMBER(SEARCH("PG",C65)),ISNUMBER(SEARCH("RENT",C65)),ISNUMBER(SEARCH("STANZA",C65)),ISNUMBER(SEARCH("ZOLO",C65))),"PG Rent &amp; Covered Meals",IF(OR(ISNUMBER(SEARCH("GROWW",C65)),ISNUMBER(SEARCH("ZERODHA",C65)),ISNUMBER(SEARCH("MUTUAL",C65)),ISNUMBER(SEARCH("SIP",C65)),ISNUMBER(SEARCH("NIPPON",C65))),"Monthly SIP Investment",IF(OR(ISNUMBER(SEARCH("BMTC",C65)),ISNUMBER(SEARCH("BUS",C65)),ISNUMBER(SEARCH("METRO",C65)),ISNUMBER(SEARCH("CHALO",C65))),"BMTC Bus Commute",IF(OR(ISNUMBER(SEARCH("SWIGGY",C65)),ISNUMBER(SEARCH("ZOMATO",C65)),ISNUMBER(SEARCH("CANTEEN",C65)),ISNUMBER(SEARCH("LUNCH",C65)),ISNUMBER(SEARCH("FOOD",C65)),ISNUMBER(SEARCH("SUBWAY",C65))),"Daily Office Lunch (Mon–Sat)",IF(OR(ISNUMBER(SEARCH("BLINKIT",C65)),ISNUMBER(SEARCH("ZEPTO",C65)),ISNUMBER(SEARCH("RECHARGE",C65)),ISNUMBER(SEARCH("JIO",C65)),ISNUMBER(SEARCH("AIRTEL",C65)),ISNUMBER(SEARCH("PHARMACY",C65)),ISNUMBER(SEARCH("APOLLO",C65)),ISNUMBER(SEARCH("ESSENTIALS",C65)),ISNUMBER(SEARCH("LIFESTYLE",C65))),"Lifestyle &amp; Personal Essentials",IF(OR(ISNUMBER(SEARCH("EMERGENCY",C65)),ISNUMBER(SEARCH("SWEEP",C65)),ISNUMBER(SEARCH("RESERVE",C65))),"Emergency Fund Allocation","Unallocated Flex Buffer")))))))))</f>
        <v/>
      </c>
      <c r="J65" s="39" t="inlineStr"/>
      <c r="K65" s="23">
        <f>IF(C65="","",IF(J65&lt;&gt;"",J65,I65))</f>
        <v/>
      </c>
      <c r="L65" s="40">
        <f>IF(A65="","",IF(ISNUMBER(A65),TEXT(A65,"mmm-yyyy"),"Oct-2026"))</f>
        <v/>
      </c>
      <c r="M65" s="40">
        <f>IF(D65&gt;=5000,"🚨 High Value Debit (₹"&amp;TEXT(D65,"#,##0")&amp;")",IF(D65&gt;=1000,"⚡ Notable Expense","—"))</f>
        <v/>
      </c>
    </row>
    <row r="66">
      <c r="A66" s="39" t="inlineStr"/>
      <c r="B66" s="39" t="inlineStr"/>
      <c r="C66" s="39" t="inlineStr"/>
      <c r="D66" s="41" t="inlineStr"/>
      <c r="E66" s="41" t="inlineStr"/>
      <c r="F66" s="41" t="inlineStr"/>
      <c r="G66" s="39" t="inlineStr"/>
      <c r="H66" s="26">
        <f>IF(C66="","",IF(E66&gt;0,"INCOME",IF(D66&gt;0,"EXPENSE","NEUTRAL")))</f>
        <v/>
      </c>
      <c r="I66" s="39">
        <f>IF(C66="","",=IF(OR(ISNUMBER(SEARCH("STIPEND",C66)),ISNUMBER(SEARCH("SIGMASOFT",C66)),ISNUMBER(SEARCH("SALARY",C66))),"Internship Stipend",IF(OR(ISNUMBER(SEARCH("FAMILY",C66)),ISNUMBER(SEARCH("PAPA",C66)),ISNUMBER(SEARCH("MOM",C66)),ISNUMBER(SEARCH("FATHER",C66))),"Family Support",IF(OR(ISNUMBER(SEARCH("PG",C66)),ISNUMBER(SEARCH("RENT",C66)),ISNUMBER(SEARCH("STANZA",C66)),ISNUMBER(SEARCH("ZOLO",C66))),"PG Rent &amp; Covered Meals",IF(OR(ISNUMBER(SEARCH("GROWW",C66)),ISNUMBER(SEARCH("ZERODHA",C66)),ISNUMBER(SEARCH("MUTUAL",C66)),ISNUMBER(SEARCH("SIP",C66)),ISNUMBER(SEARCH("NIPPON",C66))),"Monthly SIP Investment",IF(OR(ISNUMBER(SEARCH("BMTC",C66)),ISNUMBER(SEARCH("BUS",C66)),ISNUMBER(SEARCH("METRO",C66)),ISNUMBER(SEARCH("CHALO",C66))),"BMTC Bus Commute",IF(OR(ISNUMBER(SEARCH("SWIGGY",C66)),ISNUMBER(SEARCH("ZOMATO",C66)),ISNUMBER(SEARCH("CANTEEN",C66)),ISNUMBER(SEARCH("LUNCH",C66)),ISNUMBER(SEARCH("FOOD",C66)),ISNUMBER(SEARCH("SUBWAY",C66))),"Daily Office Lunch (Mon–Sat)",IF(OR(ISNUMBER(SEARCH("BLINKIT",C66)),ISNUMBER(SEARCH("ZEPTO",C66)),ISNUMBER(SEARCH("RECHARGE",C66)),ISNUMBER(SEARCH("JIO",C66)),ISNUMBER(SEARCH("AIRTEL",C66)),ISNUMBER(SEARCH("PHARMACY",C66)),ISNUMBER(SEARCH("APOLLO",C66)),ISNUMBER(SEARCH("ESSENTIALS",C66)),ISNUMBER(SEARCH("LIFESTYLE",C66))),"Lifestyle &amp; Personal Essentials",IF(OR(ISNUMBER(SEARCH("EMERGENCY",C66)),ISNUMBER(SEARCH("SWEEP",C66)),ISNUMBER(SEARCH("RESERVE",C66))),"Emergency Fund Allocation","Unallocated Flex Buffer")))))))))</f>
        <v/>
      </c>
      <c r="J66" s="39" t="inlineStr"/>
      <c r="K66" s="23">
        <f>IF(C66="","",IF(J66&lt;&gt;"",J66,I66))</f>
        <v/>
      </c>
      <c r="L66" s="40">
        <f>IF(A66="","",IF(ISNUMBER(A66),TEXT(A66,"mmm-yyyy"),"Oct-2026"))</f>
        <v/>
      </c>
      <c r="M66" s="40">
        <f>IF(D66&gt;=5000,"🚨 High Value Debit (₹"&amp;TEXT(D66,"#,##0")&amp;")",IF(D66&gt;=1000,"⚡ Notable Expense","—"))</f>
        <v/>
      </c>
    </row>
    <row r="67">
      <c r="A67" s="39" t="inlineStr"/>
      <c r="B67" s="39" t="inlineStr"/>
      <c r="C67" s="39" t="inlineStr"/>
      <c r="D67" s="41" t="inlineStr"/>
      <c r="E67" s="41" t="inlineStr"/>
      <c r="F67" s="41" t="inlineStr"/>
      <c r="G67" s="39" t="inlineStr"/>
      <c r="H67" s="26">
        <f>IF(C67="","",IF(E67&gt;0,"INCOME",IF(D67&gt;0,"EXPENSE","NEUTRAL")))</f>
        <v/>
      </c>
      <c r="I67" s="39">
        <f>IF(C67="","",=IF(OR(ISNUMBER(SEARCH("STIPEND",C67)),ISNUMBER(SEARCH("SIGMASOFT",C67)),ISNUMBER(SEARCH("SALARY",C67))),"Internship Stipend",IF(OR(ISNUMBER(SEARCH("FAMILY",C67)),ISNUMBER(SEARCH("PAPA",C67)),ISNUMBER(SEARCH("MOM",C67)),ISNUMBER(SEARCH("FATHER",C67))),"Family Support",IF(OR(ISNUMBER(SEARCH("PG",C67)),ISNUMBER(SEARCH("RENT",C67)),ISNUMBER(SEARCH("STANZA",C67)),ISNUMBER(SEARCH("ZOLO",C67))),"PG Rent &amp; Covered Meals",IF(OR(ISNUMBER(SEARCH("GROWW",C67)),ISNUMBER(SEARCH("ZERODHA",C67)),ISNUMBER(SEARCH("MUTUAL",C67)),ISNUMBER(SEARCH("SIP",C67)),ISNUMBER(SEARCH("NIPPON",C67))),"Monthly SIP Investment",IF(OR(ISNUMBER(SEARCH("BMTC",C67)),ISNUMBER(SEARCH("BUS",C67)),ISNUMBER(SEARCH("METRO",C67)),ISNUMBER(SEARCH("CHALO",C67))),"BMTC Bus Commute",IF(OR(ISNUMBER(SEARCH("SWIGGY",C67)),ISNUMBER(SEARCH("ZOMATO",C67)),ISNUMBER(SEARCH("CANTEEN",C67)),ISNUMBER(SEARCH("LUNCH",C67)),ISNUMBER(SEARCH("FOOD",C67)),ISNUMBER(SEARCH("SUBWAY",C67))),"Daily Office Lunch (Mon–Sat)",IF(OR(ISNUMBER(SEARCH("BLINKIT",C67)),ISNUMBER(SEARCH("ZEPTO",C67)),ISNUMBER(SEARCH("RECHARGE",C67)),ISNUMBER(SEARCH("JIO",C67)),ISNUMBER(SEARCH("AIRTEL",C67)),ISNUMBER(SEARCH("PHARMACY",C67)),ISNUMBER(SEARCH("APOLLO",C67)),ISNUMBER(SEARCH("ESSENTIALS",C67)),ISNUMBER(SEARCH("LIFESTYLE",C67))),"Lifestyle &amp; Personal Essentials",IF(OR(ISNUMBER(SEARCH("EMERGENCY",C67)),ISNUMBER(SEARCH("SWEEP",C67)),ISNUMBER(SEARCH("RESERVE",C67))),"Emergency Fund Allocation","Unallocated Flex Buffer")))))))))</f>
        <v/>
      </c>
      <c r="J67" s="39" t="inlineStr"/>
      <c r="K67" s="23">
        <f>IF(C67="","",IF(J67&lt;&gt;"",J67,I67))</f>
        <v/>
      </c>
      <c r="L67" s="40">
        <f>IF(A67="","",IF(ISNUMBER(A67),TEXT(A67,"mmm-yyyy"),"Oct-2026"))</f>
        <v/>
      </c>
      <c r="M67" s="40">
        <f>IF(D67&gt;=5000,"🚨 High Value Debit (₹"&amp;TEXT(D67,"#,##0")&amp;")",IF(D67&gt;=1000,"⚡ Notable Expense","—"))</f>
        <v/>
      </c>
    </row>
    <row r="68">
      <c r="A68" s="39" t="inlineStr"/>
      <c r="B68" s="39" t="inlineStr"/>
      <c r="C68" s="39" t="inlineStr"/>
      <c r="D68" s="41" t="inlineStr"/>
      <c r="E68" s="41" t="inlineStr"/>
      <c r="F68" s="41" t="inlineStr"/>
      <c r="G68" s="39" t="inlineStr"/>
      <c r="H68" s="26">
        <f>IF(C68="","",IF(E68&gt;0,"INCOME",IF(D68&gt;0,"EXPENSE","NEUTRAL")))</f>
        <v/>
      </c>
      <c r="I68" s="39">
        <f>IF(C68="","",=IF(OR(ISNUMBER(SEARCH("STIPEND",C68)),ISNUMBER(SEARCH("SIGMASOFT",C68)),ISNUMBER(SEARCH("SALARY",C68))),"Internship Stipend",IF(OR(ISNUMBER(SEARCH("FAMILY",C68)),ISNUMBER(SEARCH("PAPA",C68)),ISNUMBER(SEARCH("MOM",C68)),ISNUMBER(SEARCH("FATHER",C68))),"Family Support",IF(OR(ISNUMBER(SEARCH("PG",C68)),ISNUMBER(SEARCH("RENT",C68)),ISNUMBER(SEARCH("STANZA",C68)),ISNUMBER(SEARCH("ZOLO",C68))),"PG Rent &amp; Covered Meals",IF(OR(ISNUMBER(SEARCH("GROWW",C68)),ISNUMBER(SEARCH("ZERODHA",C68)),ISNUMBER(SEARCH("MUTUAL",C68)),ISNUMBER(SEARCH("SIP",C68)),ISNUMBER(SEARCH("NIPPON",C68))),"Monthly SIP Investment",IF(OR(ISNUMBER(SEARCH("BMTC",C68)),ISNUMBER(SEARCH("BUS",C68)),ISNUMBER(SEARCH("METRO",C68)),ISNUMBER(SEARCH("CHALO",C68))),"BMTC Bus Commute",IF(OR(ISNUMBER(SEARCH("SWIGGY",C68)),ISNUMBER(SEARCH("ZOMATO",C68)),ISNUMBER(SEARCH("CANTEEN",C68)),ISNUMBER(SEARCH("LUNCH",C68)),ISNUMBER(SEARCH("FOOD",C68)),ISNUMBER(SEARCH("SUBWAY",C68))),"Daily Office Lunch (Mon–Sat)",IF(OR(ISNUMBER(SEARCH("BLINKIT",C68)),ISNUMBER(SEARCH("ZEPTO",C68)),ISNUMBER(SEARCH("RECHARGE",C68)),ISNUMBER(SEARCH("JIO",C68)),ISNUMBER(SEARCH("AIRTEL",C68)),ISNUMBER(SEARCH("PHARMACY",C68)),ISNUMBER(SEARCH("APOLLO",C68)),ISNUMBER(SEARCH("ESSENTIALS",C68)),ISNUMBER(SEARCH("LIFESTYLE",C68))),"Lifestyle &amp; Personal Essentials",IF(OR(ISNUMBER(SEARCH("EMERGENCY",C68)),ISNUMBER(SEARCH("SWEEP",C68)),ISNUMBER(SEARCH("RESERVE",C68))),"Emergency Fund Allocation","Unallocated Flex Buffer")))))))))</f>
        <v/>
      </c>
      <c r="J68" s="39" t="inlineStr"/>
      <c r="K68" s="23">
        <f>IF(C68="","",IF(J68&lt;&gt;"",J68,I68))</f>
        <v/>
      </c>
      <c r="L68" s="40">
        <f>IF(A68="","",IF(ISNUMBER(A68),TEXT(A68,"mmm-yyyy"),"Oct-2026"))</f>
        <v/>
      </c>
      <c r="M68" s="40">
        <f>IF(D68&gt;=5000,"🚨 High Value Debit (₹"&amp;TEXT(D68,"#,##0")&amp;")",IF(D68&gt;=1000,"⚡ Notable Expense","—"))</f>
        <v/>
      </c>
    </row>
    <row r="69">
      <c r="A69" s="39" t="inlineStr"/>
      <c r="B69" s="39" t="inlineStr"/>
      <c r="C69" s="39" t="inlineStr"/>
      <c r="D69" s="41" t="inlineStr"/>
      <c r="E69" s="41" t="inlineStr"/>
      <c r="F69" s="41" t="inlineStr"/>
      <c r="G69" s="39" t="inlineStr"/>
      <c r="H69" s="26">
        <f>IF(C69="","",IF(E69&gt;0,"INCOME",IF(D69&gt;0,"EXPENSE","NEUTRAL")))</f>
        <v/>
      </c>
      <c r="I69" s="39">
        <f>IF(C69="","",=IF(OR(ISNUMBER(SEARCH("STIPEND",C69)),ISNUMBER(SEARCH("SIGMASOFT",C69)),ISNUMBER(SEARCH("SALARY",C69))),"Internship Stipend",IF(OR(ISNUMBER(SEARCH("FAMILY",C69)),ISNUMBER(SEARCH("PAPA",C69)),ISNUMBER(SEARCH("MOM",C69)),ISNUMBER(SEARCH("FATHER",C69))),"Family Support",IF(OR(ISNUMBER(SEARCH("PG",C69)),ISNUMBER(SEARCH("RENT",C69)),ISNUMBER(SEARCH("STANZA",C69)),ISNUMBER(SEARCH("ZOLO",C69))),"PG Rent &amp; Covered Meals",IF(OR(ISNUMBER(SEARCH("GROWW",C69)),ISNUMBER(SEARCH("ZERODHA",C69)),ISNUMBER(SEARCH("MUTUAL",C69)),ISNUMBER(SEARCH("SIP",C69)),ISNUMBER(SEARCH("NIPPON",C69))),"Monthly SIP Investment",IF(OR(ISNUMBER(SEARCH("BMTC",C69)),ISNUMBER(SEARCH("BUS",C69)),ISNUMBER(SEARCH("METRO",C69)),ISNUMBER(SEARCH("CHALO",C69))),"BMTC Bus Commute",IF(OR(ISNUMBER(SEARCH("SWIGGY",C69)),ISNUMBER(SEARCH("ZOMATO",C69)),ISNUMBER(SEARCH("CANTEEN",C69)),ISNUMBER(SEARCH("LUNCH",C69)),ISNUMBER(SEARCH("FOOD",C69)),ISNUMBER(SEARCH("SUBWAY",C69))),"Daily Office Lunch (Mon–Sat)",IF(OR(ISNUMBER(SEARCH("BLINKIT",C69)),ISNUMBER(SEARCH("ZEPTO",C69)),ISNUMBER(SEARCH("RECHARGE",C69)),ISNUMBER(SEARCH("JIO",C69)),ISNUMBER(SEARCH("AIRTEL",C69)),ISNUMBER(SEARCH("PHARMACY",C69)),ISNUMBER(SEARCH("APOLLO",C69)),ISNUMBER(SEARCH("ESSENTIALS",C69)),ISNUMBER(SEARCH("LIFESTYLE",C69))),"Lifestyle &amp; Personal Essentials",IF(OR(ISNUMBER(SEARCH("EMERGENCY",C69)),ISNUMBER(SEARCH("SWEEP",C69)),ISNUMBER(SEARCH("RESERVE",C69))),"Emergency Fund Allocation","Unallocated Flex Buffer")))))))))</f>
        <v/>
      </c>
      <c r="J69" s="39" t="inlineStr"/>
      <c r="K69" s="23">
        <f>IF(C69="","",IF(J69&lt;&gt;"",J69,I69))</f>
        <v/>
      </c>
      <c r="L69" s="40">
        <f>IF(A69="","",IF(ISNUMBER(A69),TEXT(A69,"mmm-yyyy"),"Oct-2026"))</f>
        <v/>
      </c>
      <c r="M69" s="40">
        <f>IF(D69&gt;=5000,"🚨 High Value Debit (₹"&amp;TEXT(D69,"#,##0")&amp;")",IF(D69&gt;=1000,"⚡ Notable Expense","—"))</f>
        <v/>
      </c>
    </row>
    <row r="70">
      <c r="A70" s="39" t="inlineStr"/>
      <c r="B70" s="39" t="inlineStr"/>
      <c r="C70" s="39" t="inlineStr"/>
      <c r="D70" s="41" t="inlineStr"/>
      <c r="E70" s="41" t="inlineStr"/>
      <c r="F70" s="41" t="inlineStr"/>
      <c r="G70" s="39" t="inlineStr"/>
      <c r="H70" s="26">
        <f>IF(C70="","",IF(E70&gt;0,"INCOME",IF(D70&gt;0,"EXPENSE","NEUTRAL")))</f>
        <v/>
      </c>
      <c r="I70" s="39">
        <f>IF(C70="","",=IF(OR(ISNUMBER(SEARCH("STIPEND",C70)),ISNUMBER(SEARCH("SIGMASOFT",C70)),ISNUMBER(SEARCH("SALARY",C70))),"Internship Stipend",IF(OR(ISNUMBER(SEARCH("FAMILY",C70)),ISNUMBER(SEARCH("PAPA",C70)),ISNUMBER(SEARCH("MOM",C70)),ISNUMBER(SEARCH("FATHER",C70))),"Family Support",IF(OR(ISNUMBER(SEARCH("PG",C70)),ISNUMBER(SEARCH("RENT",C70)),ISNUMBER(SEARCH("STANZA",C70)),ISNUMBER(SEARCH("ZOLO",C70))),"PG Rent &amp; Covered Meals",IF(OR(ISNUMBER(SEARCH("GROWW",C70)),ISNUMBER(SEARCH("ZERODHA",C70)),ISNUMBER(SEARCH("MUTUAL",C70)),ISNUMBER(SEARCH("SIP",C70)),ISNUMBER(SEARCH("NIPPON",C70))),"Monthly SIP Investment",IF(OR(ISNUMBER(SEARCH("BMTC",C70)),ISNUMBER(SEARCH("BUS",C70)),ISNUMBER(SEARCH("METRO",C70)),ISNUMBER(SEARCH("CHALO",C70))),"BMTC Bus Commute",IF(OR(ISNUMBER(SEARCH("SWIGGY",C70)),ISNUMBER(SEARCH("ZOMATO",C70)),ISNUMBER(SEARCH("CANTEEN",C70)),ISNUMBER(SEARCH("LUNCH",C70)),ISNUMBER(SEARCH("FOOD",C70)),ISNUMBER(SEARCH("SUBWAY",C70))),"Daily Office Lunch (Mon–Sat)",IF(OR(ISNUMBER(SEARCH("BLINKIT",C70)),ISNUMBER(SEARCH("ZEPTO",C70)),ISNUMBER(SEARCH("RECHARGE",C70)),ISNUMBER(SEARCH("JIO",C70)),ISNUMBER(SEARCH("AIRTEL",C70)),ISNUMBER(SEARCH("PHARMACY",C70)),ISNUMBER(SEARCH("APOLLO",C70)),ISNUMBER(SEARCH("ESSENTIALS",C70)),ISNUMBER(SEARCH("LIFESTYLE",C70))),"Lifestyle &amp; Personal Essentials",IF(OR(ISNUMBER(SEARCH("EMERGENCY",C70)),ISNUMBER(SEARCH("SWEEP",C70)),ISNUMBER(SEARCH("RESERVE",C70))),"Emergency Fund Allocation","Unallocated Flex Buffer")))))))))</f>
        <v/>
      </c>
      <c r="J70" s="39" t="inlineStr"/>
      <c r="K70" s="23">
        <f>IF(C70="","",IF(J70&lt;&gt;"",J70,I70))</f>
        <v/>
      </c>
      <c r="L70" s="40">
        <f>IF(A70="","",IF(ISNUMBER(A70),TEXT(A70,"mmm-yyyy"),"Oct-2026"))</f>
        <v/>
      </c>
      <c r="M70" s="40">
        <f>IF(D70&gt;=5000,"🚨 High Value Debit (₹"&amp;TEXT(D70,"#,##0")&amp;")",IF(D70&gt;=1000,"⚡ Notable Expense","—"))</f>
        <v/>
      </c>
    </row>
    <row r="71">
      <c r="A71" s="39" t="inlineStr"/>
      <c r="B71" s="39" t="inlineStr"/>
      <c r="C71" s="39" t="inlineStr"/>
      <c r="D71" s="41" t="inlineStr"/>
      <c r="E71" s="41" t="inlineStr"/>
      <c r="F71" s="41" t="inlineStr"/>
      <c r="G71" s="39" t="inlineStr"/>
      <c r="H71" s="26">
        <f>IF(C71="","",IF(E71&gt;0,"INCOME",IF(D71&gt;0,"EXPENSE","NEUTRAL")))</f>
        <v/>
      </c>
      <c r="I71" s="39">
        <f>IF(C71="","",=IF(OR(ISNUMBER(SEARCH("STIPEND",C71)),ISNUMBER(SEARCH("SIGMASOFT",C71)),ISNUMBER(SEARCH("SALARY",C71))),"Internship Stipend",IF(OR(ISNUMBER(SEARCH("FAMILY",C71)),ISNUMBER(SEARCH("PAPA",C71)),ISNUMBER(SEARCH("MOM",C71)),ISNUMBER(SEARCH("FATHER",C71))),"Family Support",IF(OR(ISNUMBER(SEARCH("PG",C71)),ISNUMBER(SEARCH("RENT",C71)),ISNUMBER(SEARCH("STANZA",C71)),ISNUMBER(SEARCH("ZOLO",C71))),"PG Rent &amp; Covered Meals",IF(OR(ISNUMBER(SEARCH("GROWW",C71)),ISNUMBER(SEARCH("ZERODHA",C71)),ISNUMBER(SEARCH("MUTUAL",C71)),ISNUMBER(SEARCH("SIP",C71)),ISNUMBER(SEARCH("NIPPON",C71))),"Monthly SIP Investment",IF(OR(ISNUMBER(SEARCH("BMTC",C71)),ISNUMBER(SEARCH("BUS",C71)),ISNUMBER(SEARCH("METRO",C71)),ISNUMBER(SEARCH("CHALO",C71))),"BMTC Bus Commute",IF(OR(ISNUMBER(SEARCH("SWIGGY",C71)),ISNUMBER(SEARCH("ZOMATO",C71)),ISNUMBER(SEARCH("CANTEEN",C71)),ISNUMBER(SEARCH("LUNCH",C71)),ISNUMBER(SEARCH("FOOD",C71)),ISNUMBER(SEARCH("SUBWAY",C71))),"Daily Office Lunch (Mon–Sat)",IF(OR(ISNUMBER(SEARCH("BLINKIT",C71)),ISNUMBER(SEARCH("ZEPTO",C71)),ISNUMBER(SEARCH("RECHARGE",C71)),ISNUMBER(SEARCH("JIO",C71)),ISNUMBER(SEARCH("AIRTEL",C71)),ISNUMBER(SEARCH("PHARMACY",C71)),ISNUMBER(SEARCH("APOLLO",C71)),ISNUMBER(SEARCH("ESSENTIALS",C71)),ISNUMBER(SEARCH("LIFESTYLE",C71))),"Lifestyle &amp; Personal Essentials",IF(OR(ISNUMBER(SEARCH("EMERGENCY",C71)),ISNUMBER(SEARCH("SWEEP",C71)),ISNUMBER(SEARCH("RESERVE",C71))),"Emergency Fund Allocation","Unallocated Flex Buffer")))))))))</f>
        <v/>
      </c>
      <c r="J71" s="39" t="inlineStr"/>
      <c r="K71" s="23">
        <f>IF(C71="","",IF(J71&lt;&gt;"",J71,I71))</f>
        <v/>
      </c>
      <c r="L71" s="40">
        <f>IF(A71="","",IF(ISNUMBER(A71),TEXT(A71,"mmm-yyyy"),"Oct-2026"))</f>
        <v/>
      </c>
      <c r="M71" s="40">
        <f>IF(D71&gt;=5000,"🚨 High Value Debit (₹"&amp;TEXT(D71,"#,##0")&amp;")",IF(D71&gt;=1000,"⚡ Notable Expense","—"))</f>
        <v/>
      </c>
    </row>
    <row r="72">
      <c r="A72" s="39" t="inlineStr"/>
      <c r="B72" s="39" t="inlineStr"/>
      <c r="C72" s="39" t="inlineStr"/>
      <c r="D72" s="41" t="inlineStr"/>
      <c r="E72" s="41" t="inlineStr"/>
      <c r="F72" s="41" t="inlineStr"/>
      <c r="G72" s="39" t="inlineStr"/>
      <c r="H72" s="26">
        <f>IF(C72="","",IF(E72&gt;0,"INCOME",IF(D72&gt;0,"EXPENSE","NEUTRAL")))</f>
        <v/>
      </c>
      <c r="I72" s="39">
        <f>IF(C72="","",=IF(OR(ISNUMBER(SEARCH("STIPEND",C72)),ISNUMBER(SEARCH("SIGMASOFT",C72)),ISNUMBER(SEARCH("SALARY",C72))),"Internship Stipend",IF(OR(ISNUMBER(SEARCH("FAMILY",C72)),ISNUMBER(SEARCH("PAPA",C72)),ISNUMBER(SEARCH("MOM",C72)),ISNUMBER(SEARCH("FATHER",C72))),"Family Support",IF(OR(ISNUMBER(SEARCH("PG",C72)),ISNUMBER(SEARCH("RENT",C72)),ISNUMBER(SEARCH("STANZA",C72)),ISNUMBER(SEARCH("ZOLO",C72))),"PG Rent &amp; Covered Meals",IF(OR(ISNUMBER(SEARCH("GROWW",C72)),ISNUMBER(SEARCH("ZERODHA",C72)),ISNUMBER(SEARCH("MUTUAL",C72)),ISNUMBER(SEARCH("SIP",C72)),ISNUMBER(SEARCH("NIPPON",C72))),"Monthly SIP Investment",IF(OR(ISNUMBER(SEARCH("BMTC",C72)),ISNUMBER(SEARCH("BUS",C72)),ISNUMBER(SEARCH("METRO",C72)),ISNUMBER(SEARCH("CHALO",C72))),"BMTC Bus Commute",IF(OR(ISNUMBER(SEARCH("SWIGGY",C72)),ISNUMBER(SEARCH("ZOMATO",C72)),ISNUMBER(SEARCH("CANTEEN",C72)),ISNUMBER(SEARCH("LUNCH",C72)),ISNUMBER(SEARCH("FOOD",C72)),ISNUMBER(SEARCH("SUBWAY",C72))),"Daily Office Lunch (Mon–Sat)",IF(OR(ISNUMBER(SEARCH("BLINKIT",C72)),ISNUMBER(SEARCH("ZEPTO",C72)),ISNUMBER(SEARCH("RECHARGE",C72)),ISNUMBER(SEARCH("JIO",C72)),ISNUMBER(SEARCH("AIRTEL",C72)),ISNUMBER(SEARCH("PHARMACY",C72)),ISNUMBER(SEARCH("APOLLO",C72)),ISNUMBER(SEARCH("ESSENTIALS",C72)),ISNUMBER(SEARCH("LIFESTYLE",C72))),"Lifestyle &amp; Personal Essentials",IF(OR(ISNUMBER(SEARCH("EMERGENCY",C72)),ISNUMBER(SEARCH("SWEEP",C72)),ISNUMBER(SEARCH("RESERVE",C72))),"Emergency Fund Allocation","Unallocated Flex Buffer")))))))))</f>
        <v/>
      </c>
      <c r="J72" s="39" t="inlineStr"/>
      <c r="K72" s="23">
        <f>IF(C72="","",IF(J72&lt;&gt;"",J72,I72))</f>
        <v/>
      </c>
      <c r="L72" s="40">
        <f>IF(A72="","",IF(ISNUMBER(A72),TEXT(A72,"mmm-yyyy"),"Oct-2026"))</f>
        <v/>
      </c>
      <c r="M72" s="40">
        <f>IF(D72&gt;=5000,"🚨 High Value Debit (₹"&amp;TEXT(D72,"#,##0")&amp;")",IF(D72&gt;=1000,"⚡ Notable Expense","—"))</f>
        <v/>
      </c>
    </row>
    <row r="73">
      <c r="A73" s="39" t="inlineStr"/>
      <c r="B73" s="39" t="inlineStr"/>
      <c r="C73" s="39" t="inlineStr"/>
      <c r="D73" s="41" t="inlineStr"/>
      <c r="E73" s="41" t="inlineStr"/>
      <c r="F73" s="41" t="inlineStr"/>
      <c r="G73" s="39" t="inlineStr"/>
      <c r="H73" s="26">
        <f>IF(C73="","",IF(E73&gt;0,"INCOME",IF(D73&gt;0,"EXPENSE","NEUTRAL")))</f>
        <v/>
      </c>
      <c r="I73" s="39">
        <f>IF(C73="","",=IF(OR(ISNUMBER(SEARCH("STIPEND",C73)),ISNUMBER(SEARCH("SIGMASOFT",C73)),ISNUMBER(SEARCH("SALARY",C73))),"Internship Stipend",IF(OR(ISNUMBER(SEARCH("FAMILY",C73)),ISNUMBER(SEARCH("PAPA",C73)),ISNUMBER(SEARCH("MOM",C73)),ISNUMBER(SEARCH("FATHER",C73))),"Family Support",IF(OR(ISNUMBER(SEARCH("PG",C73)),ISNUMBER(SEARCH("RENT",C73)),ISNUMBER(SEARCH("STANZA",C73)),ISNUMBER(SEARCH("ZOLO",C73))),"PG Rent &amp; Covered Meals",IF(OR(ISNUMBER(SEARCH("GROWW",C73)),ISNUMBER(SEARCH("ZERODHA",C73)),ISNUMBER(SEARCH("MUTUAL",C73)),ISNUMBER(SEARCH("SIP",C73)),ISNUMBER(SEARCH("NIPPON",C73))),"Monthly SIP Investment",IF(OR(ISNUMBER(SEARCH("BMTC",C73)),ISNUMBER(SEARCH("BUS",C73)),ISNUMBER(SEARCH("METRO",C73)),ISNUMBER(SEARCH("CHALO",C73))),"BMTC Bus Commute",IF(OR(ISNUMBER(SEARCH("SWIGGY",C73)),ISNUMBER(SEARCH("ZOMATO",C73)),ISNUMBER(SEARCH("CANTEEN",C73)),ISNUMBER(SEARCH("LUNCH",C73)),ISNUMBER(SEARCH("FOOD",C73)),ISNUMBER(SEARCH("SUBWAY",C73))),"Daily Office Lunch (Mon–Sat)",IF(OR(ISNUMBER(SEARCH("BLINKIT",C73)),ISNUMBER(SEARCH("ZEPTO",C73)),ISNUMBER(SEARCH("RECHARGE",C73)),ISNUMBER(SEARCH("JIO",C73)),ISNUMBER(SEARCH("AIRTEL",C73)),ISNUMBER(SEARCH("PHARMACY",C73)),ISNUMBER(SEARCH("APOLLO",C73)),ISNUMBER(SEARCH("ESSENTIALS",C73)),ISNUMBER(SEARCH("LIFESTYLE",C73))),"Lifestyle &amp; Personal Essentials",IF(OR(ISNUMBER(SEARCH("EMERGENCY",C73)),ISNUMBER(SEARCH("SWEEP",C73)),ISNUMBER(SEARCH("RESERVE",C73))),"Emergency Fund Allocation","Unallocated Flex Buffer")))))))))</f>
        <v/>
      </c>
      <c r="J73" s="39" t="inlineStr"/>
      <c r="K73" s="23">
        <f>IF(C73="","",IF(J73&lt;&gt;"",J73,I73))</f>
        <v/>
      </c>
      <c r="L73" s="40">
        <f>IF(A73="","",IF(ISNUMBER(A73),TEXT(A73,"mmm-yyyy"),"Oct-2026"))</f>
        <v/>
      </c>
      <c r="M73" s="40">
        <f>IF(D73&gt;=5000,"🚨 High Value Debit (₹"&amp;TEXT(D73,"#,##0")&amp;")",IF(D73&gt;=1000,"⚡ Notable Expense","—"))</f>
        <v/>
      </c>
    </row>
    <row r="74">
      <c r="A74" s="39" t="inlineStr"/>
      <c r="B74" s="39" t="inlineStr"/>
      <c r="C74" s="39" t="inlineStr"/>
      <c r="D74" s="41" t="inlineStr"/>
      <c r="E74" s="41" t="inlineStr"/>
      <c r="F74" s="41" t="inlineStr"/>
      <c r="G74" s="39" t="inlineStr"/>
      <c r="H74" s="26">
        <f>IF(C74="","",IF(E74&gt;0,"INCOME",IF(D74&gt;0,"EXPENSE","NEUTRAL")))</f>
        <v/>
      </c>
      <c r="I74" s="39">
        <f>IF(C74="","",=IF(OR(ISNUMBER(SEARCH("STIPEND",C74)),ISNUMBER(SEARCH("SIGMASOFT",C74)),ISNUMBER(SEARCH("SALARY",C74))),"Internship Stipend",IF(OR(ISNUMBER(SEARCH("FAMILY",C74)),ISNUMBER(SEARCH("PAPA",C74)),ISNUMBER(SEARCH("MOM",C74)),ISNUMBER(SEARCH("FATHER",C74))),"Family Support",IF(OR(ISNUMBER(SEARCH("PG",C74)),ISNUMBER(SEARCH("RENT",C74)),ISNUMBER(SEARCH("STANZA",C74)),ISNUMBER(SEARCH("ZOLO",C74))),"PG Rent &amp; Covered Meals",IF(OR(ISNUMBER(SEARCH("GROWW",C74)),ISNUMBER(SEARCH("ZERODHA",C74)),ISNUMBER(SEARCH("MUTUAL",C74)),ISNUMBER(SEARCH("SIP",C74)),ISNUMBER(SEARCH("NIPPON",C74))),"Monthly SIP Investment",IF(OR(ISNUMBER(SEARCH("BMTC",C74)),ISNUMBER(SEARCH("BUS",C74)),ISNUMBER(SEARCH("METRO",C74)),ISNUMBER(SEARCH("CHALO",C74))),"BMTC Bus Commute",IF(OR(ISNUMBER(SEARCH("SWIGGY",C74)),ISNUMBER(SEARCH("ZOMATO",C74)),ISNUMBER(SEARCH("CANTEEN",C74)),ISNUMBER(SEARCH("LUNCH",C74)),ISNUMBER(SEARCH("FOOD",C74)),ISNUMBER(SEARCH("SUBWAY",C74))),"Daily Office Lunch (Mon–Sat)",IF(OR(ISNUMBER(SEARCH("BLINKIT",C74)),ISNUMBER(SEARCH("ZEPTO",C74)),ISNUMBER(SEARCH("RECHARGE",C74)),ISNUMBER(SEARCH("JIO",C74)),ISNUMBER(SEARCH("AIRTEL",C74)),ISNUMBER(SEARCH("PHARMACY",C74)),ISNUMBER(SEARCH("APOLLO",C74)),ISNUMBER(SEARCH("ESSENTIALS",C74)),ISNUMBER(SEARCH("LIFESTYLE",C74))),"Lifestyle &amp; Personal Essentials",IF(OR(ISNUMBER(SEARCH("EMERGENCY",C74)),ISNUMBER(SEARCH("SWEEP",C74)),ISNUMBER(SEARCH("RESERVE",C74))),"Emergency Fund Allocation","Unallocated Flex Buffer")))))))))</f>
        <v/>
      </c>
      <c r="J74" s="39" t="inlineStr"/>
      <c r="K74" s="23">
        <f>IF(C74="","",IF(J74&lt;&gt;"",J74,I74))</f>
        <v/>
      </c>
      <c r="L74" s="40">
        <f>IF(A74="","",IF(ISNUMBER(A74),TEXT(A74,"mmm-yyyy"),"Oct-2026"))</f>
        <v/>
      </c>
      <c r="M74" s="40">
        <f>IF(D74&gt;=5000,"🚨 High Value Debit (₹"&amp;TEXT(D74,"#,##0")&amp;")",IF(D74&gt;=1000,"⚡ Notable Expense","—"))</f>
        <v/>
      </c>
    </row>
    <row r="75">
      <c r="A75" s="39" t="inlineStr"/>
      <c r="B75" s="39" t="inlineStr"/>
      <c r="C75" s="39" t="inlineStr"/>
      <c r="D75" s="41" t="inlineStr"/>
      <c r="E75" s="41" t="inlineStr"/>
      <c r="F75" s="41" t="inlineStr"/>
      <c r="G75" s="39" t="inlineStr"/>
      <c r="H75" s="26">
        <f>IF(C75="","",IF(E75&gt;0,"INCOME",IF(D75&gt;0,"EXPENSE","NEUTRAL")))</f>
        <v/>
      </c>
      <c r="I75" s="39">
        <f>IF(C75="","",=IF(OR(ISNUMBER(SEARCH("STIPEND",C75)),ISNUMBER(SEARCH("SIGMASOFT",C75)),ISNUMBER(SEARCH("SALARY",C75))),"Internship Stipend",IF(OR(ISNUMBER(SEARCH("FAMILY",C75)),ISNUMBER(SEARCH("PAPA",C75)),ISNUMBER(SEARCH("MOM",C75)),ISNUMBER(SEARCH("FATHER",C75))),"Family Support",IF(OR(ISNUMBER(SEARCH("PG",C75)),ISNUMBER(SEARCH("RENT",C75)),ISNUMBER(SEARCH("STANZA",C75)),ISNUMBER(SEARCH("ZOLO",C75))),"PG Rent &amp; Covered Meals",IF(OR(ISNUMBER(SEARCH("GROWW",C75)),ISNUMBER(SEARCH("ZERODHA",C75)),ISNUMBER(SEARCH("MUTUAL",C75)),ISNUMBER(SEARCH("SIP",C75)),ISNUMBER(SEARCH("NIPPON",C75))),"Monthly SIP Investment",IF(OR(ISNUMBER(SEARCH("BMTC",C75)),ISNUMBER(SEARCH("BUS",C75)),ISNUMBER(SEARCH("METRO",C75)),ISNUMBER(SEARCH("CHALO",C75))),"BMTC Bus Commute",IF(OR(ISNUMBER(SEARCH("SWIGGY",C75)),ISNUMBER(SEARCH("ZOMATO",C75)),ISNUMBER(SEARCH("CANTEEN",C75)),ISNUMBER(SEARCH("LUNCH",C75)),ISNUMBER(SEARCH("FOOD",C75)),ISNUMBER(SEARCH("SUBWAY",C75))),"Daily Office Lunch (Mon–Sat)",IF(OR(ISNUMBER(SEARCH("BLINKIT",C75)),ISNUMBER(SEARCH("ZEPTO",C75)),ISNUMBER(SEARCH("RECHARGE",C75)),ISNUMBER(SEARCH("JIO",C75)),ISNUMBER(SEARCH("AIRTEL",C75)),ISNUMBER(SEARCH("PHARMACY",C75)),ISNUMBER(SEARCH("APOLLO",C75)),ISNUMBER(SEARCH("ESSENTIALS",C75)),ISNUMBER(SEARCH("LIFESTYLE",C75))),"Lifestyle &amp; Personal Essentials",IF(OR(ISNUMBER(SEARCH("EMERGENCY",C75)),ISNUMBER(SEARCH("SWEEP",C75)),ISNUMBER(SEARCH("RESERVE",C75))),"Emergency Fund Allocation","Unallocated Flex Buffer")))))))))</f>
        <v/>
      </c>
      <c r="J75" s="39" t="inlineStr"/>
      <c r="K75" s="23">
        <f>IF(C75="","",IF(J75&lt;&gt;"",J75,I75))</f>
        <v/>
      </c>
      <c r="L75" s="40">
        <f>IF(A75="","",IF(ISNUMBER(A75),TEXT(A75,"mmm-yyyy"),"Oct-2026"))</f>
        <v/>
      </c>
      <c r="M75" s="40">
        <f>IF(D75&gt;=5000,"🚨 High Value Debit (₹"&amp;TEXT(D75,"#,##0")&amp;")",IF(D75&gt;=1000,"⚡ Notable Expense","—"))</f>
        <v/>
      </c>
    </row>
    <row r="76">
      <c r="A76" s="39" t="inlineStr"/>
      <c r="B76" s="39" t="inlineStr"/>
      <c r="C76" s="39" t="inlineStr"/>
      <c r="D76" s="41" t="inlineStr"/>
      <c r="E76" s="41" t="inlineStr"/>
      <c r="F76" s="41" t="inlineStr"/>
      <c r="G76" s="39" t="inlineStr"/>
      <c r="H76" s="26">
        <f>IF(C76="","",IF(E76&gt;0,"INCOME",IF(D76&gt;0,"EXPENSE","NEUTRAL")))</f>
        <v/>
      </c>
      <c r="I76" s="39">
        <f>IF(C76="","",=IF(OR(ISNUMBER(SEARCH("STIPEND",C76)),ISNUMBER(SEARCH("SIGMASOFT",C76)),ISNUMBER(SEARCH("SALARY",C76))),"Internship Stipend",IF(OR(ISNUMBER(SEARCH("FAMILY",C76)),ISNUMBER(SEARCH("PAPA",C76)),ISNUMBER(SEARCH("MOM",C76)),ISNUMBER(SEARCH("FATHER",C76))),"Family Support",IF(OR(ISNUMBER(SEARCH("PG",C76)),ISNUMBER(SEARCH("RENT",C76)),ISNUMBER(SEARCH("STANZA",C76)),ISNUMBER(SEARCH("ZOLO",C76))),"PG Rent &amp; Covered Meals",IF(OR(ISNUMBER(SEARCH("GROWW",C76)),ISNUMBER(SEARCH("ZERODHA",C76)),ISNUMBER(SEARCH("MUTUAL",C76)),ISNUMBER(SEARCH("SIP",C76)),ISNUMBER(SEARCH("NIPPON",C76))),"Monthly SIP Investment",IF(OR(ISNUMBER(SEARCH("BMTC",C76)),ISNUMBER(SEARCH("BUS",C76)),ISNUMBER(SEARCH("METRO",C76)),ISNUMBER(SEARCH("CHALO",C76))),"BMTC Bus Commute",IF(OR(ISNUMBER(SEARCH("SWIGGY",C76)),ISNUMBER(SEARCH("ZOMATO",C76)),ISNUMBER(SEARCH("CANTEEN",C76)),ISNUMBER(SEARCH("LUNCH",C76)),ISNUMBER(SEARCH("FOOD",C76)),ISNUMBER(SEARCH("SUBWAY",C76))),"Daily Office Lunch (Mon–Sat)",IF(OR(ISNUMBER(SEARCH("BLINKIT",C76)),ISNUMBER(SEARCH("ZEPTO",C76)),ISNUMBER(SEARCH("RECHARGE",C76)),ISNUMBER(SEARCH("JIO",C76)),ISNUMBER(SEARCH("AIRTEL",C76)),ISNUMBER(SEARCH("PHARMACY",C76)),ISNUMBER(SEARCH("APOLLO",C76)),ISNUMBER(SEARCH("ESSENTIALS",C76)),ISNUMBER(SEARCH("LIFESTYLE",C76))),"Lifestyle &amp; Personal Essentials",IF(OR(ISNUMBER(SEARCH("EMERGENCY",C76)),ISNUMBER(SEARCH("SWEEP",C76)),ISNUMBER(SEARCH("RESERVE",C76))),"Emergency Fund Allocation","Unallocated Flex Buffer")))))))))</f>
        <v/>
      </c>
      <c r="J76" s="39" t="inlineStr"/>
      <c r="K76" s="23">
        <f>IF(C76="","",IF(J76&lt;&gt;"",J76,I76))</f>
        <v/>
      </c>
      <c r="L76" s="40">
        <f>IF(A76="","",IF(ISNUMBER(A76),TEXT(A76,"mmm-yyyy"),"Oct-2026"))</f>
        <v/>
      </c>
      <c r="M76" s="40">
        <f>IF(D76&gt;=5000,"🚨 High Value Debit (₹"&amp;TEXT(D76,"#,##0")&amp;")",IF(D76&gt;=1000,"⚡ Notable Expense","—"))</f>
        <v/>
      </c>
    </row>
    <row r="77">
      <c r="A77" s="39" t="inlineStr"/>
      <c r="B77" s="39" t="inlineStr"/>
      <c r="C77" s="39" t="inlineStr"/>
      <c r="D77" s="41" t="inlineStr"/>
      <c r="E77" s="41" t="inlineStr"/>
      <c r="F77" s="41" t="inlineStr"/>
      <c r="G77" s="39" t="inlineStr"/>
      <c r="H77" s="26">
        <f>IF(C77="","",IF(E77&gt;0,"INCOME",IF(D77&gt;0,"EXPENSE","NEUTRAL")))</f>
        <v/>
      </c>
      <c r="I77" s="39">
        <f>IF(C77="","",=IF(OR(ISNUMBER(SEARCH("STIPEND",C77)),ISNUMBER(SEARCH("SIGMASOFT",C77)),ISNUMBER(SEARCH("SALARY",C77))),"Internship Stipend",IF(OR(ISNUMBER(SEARCH("FAMILY",C77)),ISNUMBER(SEARCH("PAPA",C77)),ISNUMBER(SEARCH("MOM",C77)),ISNUMBER(SEARCH("FATHER",C77))),"Family Support",IF(OR(ISNUMBER(SEARCH("PG",C77)),ISNUMBER(SEARCH("RENT",C77)),ISNUMBER(SEARCH("STANZA",C77)),ISNUMBER(SEARCH("ZOLO",C77))),"PG Rent &amp; Covered Meals",IF(OR(ISNUMBER(SEARCH("GROWW",C77)),ISNUMBER(SEARCH("ZERODHA",C77)),ISNUMBER(SEARCH("MUTUAL",C77)),ISNUMBER(SEARCH("SIP",C77)),ISNUMBER(SEARCH("NIPPON",C77))),"Monthly SIP Investment",IF(OR(ISNUMBER(SEARCH("BMTC",C77)),ISNUMBER(SEARCH("BUS",C77)),ISNUMBER(SEARCH("METRO",C77)),ISNUMBER(SEARCH("CHALO",C77))),"BMTC Bus Commute",IF(OR(ISNUMBER(SEARCH("SWIGGY",C77)),ISNUMBER(SEARCH("ZOMATO",C77)),ISNUMBER(SEARCH("CANTEEN",C77)),ISNUMBER(SEARCH("LUNCH",C77)),ISNUMBER(SEARCH("FOOD",C77)),ISNUMBER(SEARCH("SUBWAY",C77))),"Daily Office Lunch (Mon–Sat)",IF(OR(ISNUMBER(SEARCH("BLINKIT",C77)),ISNUMBER(SEARCH("ZEPTO",C77)),ISNUMBER(SEARCH("RECHARGE",C77)),ISNUMBER(SEARCH("JIO",C77)),ISNUMBER(SEARCH("AIRTEL",C77)),ISNUMBER(SEARCH("PHARMACY",C77)),ISNUMBER(SEARCH("APOLLO",C77)),ISNUMBER(SEARCH("ESSENTIALS",C77)),ISNUMBER(SEARCH("LIFESTYLE",C77))),"Lifestyle &amp; Personal Essentials",IF(OR(ISNUMBER(SEARCH("EMERGENCY",C77)),ISNUMBER(SEARCH("SWEEP",C77)),ISNUMBER(SEARCH("RESERVE",C77))),"Emergency Fund Allocation","Unallocated Flex Buffer")))))))))</f>
        <v/>
      </c>
      <c r="J77" s="39" t="inlineStr"/>
      <c r="K77" s="23">
        <f>IF(C77="","",IF(J77&lt;&gt;"",J77,I77))</f>
        <v/>
      </c>
      <c r="L77" s="40">
        <f>IF(A77="","",IF(ISNUMBER(A77),TEXT(A77,"mmm-yyyy"),"Oct-2026"))</f>
        <v/>
      </c>
      <c r="M77" s="40">
        <f>IF(D77&gt;=5000,"🚨 High Value Debit (₹"&amp;TEXT(D77,"#,##0")&amp;")",IF(D77&gt;=1000,"⚡ Notable Expense","—"))</f>
        <v/>
      </c>
    </row>
    <row r="78">
      <c r="A78" s="39" t="inlineStr"/>
      <c r="B78" s="39" t="inlineStr"/>
      <c r="C78" s="39" t="inlineStr"/>
      <c r="D78" s="41" t="inlineStr"/>
      <c r="E78" s="41" t="inlineStr"/>
      <c r="F78" s="41" t="inlineStr"/>
      <c r="G78" s="39" t="inlineStr"/>
      <c r="H78" s="26">
        <f>IF(C78="","",IF(E78&gt;0,"INCOME",IF(D78&gt;0,"EXPENSE","NEUTRAL")))</f>
        <v/>
      </c>
      <c r="I78" s="39">
        <f>IF(C78="","",=IF(OR(ISNUMBER(SEARCH("STIPEND",C78)),ISNUMBER(SEARCH("SIGMASOFT",C78)),ISNUMBER(SEARCH("SALARY",C78))),"Internship Stipend",IF(OR(ISNUMBER(SEARCH("FAMILY",C78)),ISNUMBER(SEARCH("PAPA",C78)),ISNUMBER(SEARCH("MOM",C78)),ISNUMBER(SEARCH("FATHER",C78))),"Family Support",IF(OR(ISNUMBER(SEARCH("PG",C78)),ISNUMBER(SEARCH("RENT",C78)),ISNUMBER(SEARCH("STANZA",C78)),ISNUMBER(SEARCH("ZOLO",C78))),"PG Rent &amp; Covered Meals",IF(OR(ISNUMBER(SEARCH("GROWW",C78)),ISNUMBER(SEARCH("ZERODHA",C78)),ISNUMBER(SEARCH("MUTUAL",C78)),ISNUMBER(SEARCH("SIP",C78)),ISNUMBER(SEARCH("NIPPON",C78))),"Monthly SIP Investment",IF(OR(ISNUMBER(SEARCH("BMTC",C78)),ISNUMBER(SEARCH("BUS",C78)),ISNUMBER(SEARCH("METRO",C78)),ISNUMBER(SEARCH("CHALO",C78))),"BMTC Bus Commute",IF(OR(ISNUMBER(SEARCH("SWIGGY",C78)),ISNUMBER(SEARCH("ZOMATO",C78)),ISNUMBER(SEARCH("CANTEEN",C78)),ISNUMBER(SEARCH("LUNCH",C78)),ISNUMBER(SEARCH("FOOD",C78)),ISNUMBER(SEARCH("SUBWAY",C78))),"Daily Office Lunch (Mon–Sat)",IF(OR(ISNUMBER(SEARCH("BLINKIT",C78)),ISNUMBER(SEARCH("ZEPTO",C78)),ISNUMBER(SEARCH("RECHARGE",C78)),ISNUMBER(SEARCH("JIO",C78)),ISNUMBER(SEARCH("AIRTEL",C78)),ISNUMBER(SEARCH("PHARMACY",C78)),ISNUMBER(SEARCH("APOLLO",C78)),ISNUMBER(SEARCH("ESSENTIALS",C78)),ISNUMBER(SEARCH("LIFESTYLE",C78))),"Lifestyle &amp; Personal Essentials",IF(OR(ISNUMBER(SEARCH("EMERGENCY",C78)),ISNUMBER(SEARCH("SWEEP",C78)),ISNUMBER(SEARCH("RESERVE",C78))),"Emergency Fund Allocation","Unallocated Flex Buffer")))))))))</f>
        <v/>
      </c>
      <c r="J78" s="39" t="inlineStr"/>
      <c r="K78" s="23">
        <f>IF(C78="","",IF(J78&lt;&gt;"",J78,I78))</f>
        <v/>
      </c>
      <c r="L78" s="40">
        <f>IF(A78="","",IF(ISNUMBER(A78),TEXT(A78,"mmm-yyyy"),"Oct-2026"))</f>
        <v/>
      </c>
      <c r="M78" s="40">
        <f>IF(D78&gt;=5000,"🚨 High Value Debit (₹"&amp;TEXT(D78,"#,##0")&amp;")",IF(D78&gt;=1000,"⚡ Notable Expense","—"))</f>
        <v/>
      </c>
    </row>
    <row r="79">
      <c r="A79" s="39" t="inlineStr"/>
      <c r="B79" s="39" t="inlineStr"/>
      <c r="C79" s="39" t="inlineStr"/>
      <c r="D79" s="41" t="inlineStr"/>
      <c r="E79" s="41" t="inlineStr"/>
      <c r="F79" s="41" t="inlineStr"/>
      <c r="G79" s="39" t="inlineStr"/>
      <c r="H79" s="26">
        <f>IF(C79="","",IF(E79&gt;0,"INCOME",IF(D79&gt;0,"EXPENSE","NEUTRAL")))</f>
        <v/>
      </c>
      <c r="I79" s="39">
        <f>IF(C79="","",=IF(OR(ISNUMBER(SEARCH("STIPEND",C79)),ISNUMBER(SEARCH("SIGMASOFT",C79)),ISNUMBER(SEARCH("SALARY",C79))),"Internship Stipend",IF(OR(ISNUMBER(SEARCH("FAMILY",C79)),ISNUMBER(SEARCH("PAPA",C79)),ISNUMBER(SEARCH("MOM",C79)),ISNUMBER(SEARCH("FATHER",C79))),"Family Support",IF(OR(ISNUMBER(SEARCH("PG",C79)),ISNUMBER(SEARCH("RENT",C79)),ISNUMBER(SEARCH("STANZA",C79)),ISNUMBER(SEARCH("ZOLO",C79))),"PG Rent &amp; Covered Meals",IF(OR(ISNUMBER(SEARCH("GROWW",C79)),ISNUMBER(SEARCH("ZERODHA",C79)),ISNUMBER(SEARCH("MUTUAL",C79)),ISNUMBER(SEARCH("SIP",C79)),ISNUMBER(SEARCH("NIPPON",C79))),"Monthly SIP Investment",IF(OR(ISNUMBER(SEARCH("BMTC",C79)),ISNUMBER(SEARCH("BUS",C79)),ISNUMBER(SEARCH("METRO",C79)),ISNUMBER(SEARCH("CHALO",C79))),"BMTC Bus Commute",IF(OR(ISNUMBER(SEARCH("SWIGGY",C79)),ISNUMBER(SEARCH("ZOMATO",C79)),ISNUMBER(SEARCH("CANTEEN",C79)),ISNUMBER(SEARCH("LUNCH",C79)),ISNUMBER(SEARCH("FOOD",C79)),ISNUMBER(SEARCH("SUBWAY",C79))),"Daily Office Lunch (Mon–Sat)",IF(OR(ISNUMBER(SEARCH("BLINKIT",C79)),ISNUMBER(SEARCH("ZEPTO",C79)),ISNUMBER(SEARCH("RECHARGE",C79)),ISNUMBER(SEARCH("JIO",C79)),ISNUMBER(SEARCH("AIRTEL",C79)),ISNUMBER(SEARCH("PHARMACY",C79)),ISNUMBER(SEARCH("APOLLO",C79)),ISNUMBER(SEARCH("ESSENTIALS",C79)),ISNUMBER(SEARCH("LIFESTYLE",C79))),"Lifestyle &amp; Personal Essentials",IF(OR(ISNUMBER(SEARCH("EMERGENCY",C79)),ISNUMBER(SEARCH("SWEEP",C79)),ISNUMBER(SEARCH("RESERVE",C79))),"Emergency Fund Allocation","Unallocated Flex Buffer")))))))))</f>
        <v/>
      </c>
      <c r="J79" s="39" t="inlineStr"/>
      <c r="K79" s="23">
        <f>IF(C79="","",IF(J79&lt;&gt;"",J79,I79))</f>
        <v/>
      </c>
      <c r="L79" s="40">
        <f>IF(A79="","",IF(ISNUMBER(A79),TEXT(A79,"mmm-yyyy"),"Oct-2026"))</f>
        <v/>
      </c>
      <c r="M79" s="40">
        <f>IF(D79&gt;=5000,"🚨 High Value Debit (₹"&amp;TEXT(D79,"#,##0")&amp;")",IF(D79&gt;=1000,"⚡ Notable Expense","—"))</f>
        <v/>
      </c>
    </row>
    <row r="80">
      <c r="A80" s="39" t="inlineStr"/>
      <c r="B80" s="39" t="inlineStr"/>
      <c r="C80" s="39" t="inlineStr"/>
      <c r="D80" s="41" t="inlineStr"/>
      <c r="E80" s="41" t="inlineStr"/>
      <c r="F80" s="41" t="inlineStr"/>
      <c r="G80" s="39" t="inlineStr"/>
      <c r="H80" s="26">
        <f>IF(C80="","",IF(E80&gt;0,"INCOME",IF(D80&gt;0,"EXPENSE","NEUTRAL")))</f>
        <v/>
      </c>
      <c r="I80" s="39">
        <f>IF(C80="","",=IF(OR(ISNUMBER(SEARCH("STIPEND",C80)),ISNUMBER(SEARCH("SIGMASOFT",C80)),ISNUMBER(SEARCH("SALARY",C80))),"Internship Stipend",IF(OR(ISNUMBER(SEARCH("FAMILY",C80)),ISNUMBER(SEARCH("PAPA",C80)),ISNUMBER(SEARCH("MOM",C80)),ISNUMBER(SEARCH("FATHER",C80))),"Family Support",IF(OR(ISNUMBER(SEARCH("PG",C80)),ISNUMBER(SEARCH("RENT",C80)),ISNUMBER(SEARCH("STANZA",C80)),ISNUMBER(SEARCH("ZOLO",C80))),"PG Rent &amp; Covered Meals",IF(OR(ISNUMBER(SEARCH("GROWW",C80)),ISNUMBER(SEARCH("ZERODHA",C80)),ISNUMBER(SEARCH("MUTUAL",C80)),ISNUMBER(SEARCH("SIP",C80)),ISNUMBER(SEARCH("NIPPON",C80))),"Monthly SIP Investment",IF(OR(ISNUMBER(SEARCH("BMTC",C80)),ISNUMBER(SEARCH("BUS",C80)),ISNUMBER(SEARCH("METRO",C80)),ISNUMBER(SEARCH("CHALO",C80))),"BMTC Bus Commute",IF(OR(ISNUMBER(SEARCH("SWIGGY",C80)),ISNUMBER(SEARCH("ZOMATO",C80)),ISNUMBER(SEARCH("CANTEEN",C80)),ISNUMBER(SEARCH("LUNCH",C80)),ISNUMBER(SEARCH("FOOD",C80)),ISNUMBER(SEARCH("SUBWAY",C80))),"Daily Office Lunch (Mon–Sat)",IF(OR(ISNUMBER(SEARCH("BLINKIT",C80)),ISNUMBER(SEARCH("ZEPTO",C80)),ISNUMBER(SEARCH("RECHARGE",C80)),ISNUMBER(SEARCH("JIO",C80)),ISNUMBER(SEARCH("AIRTEL",C80)),ISNUMBER(SEARCH("PHARMACY",C80)),ISNUMBER(SEARCH("APOLLO",C80)),ISNUMBER(SEARCH("ESSENTIALS",C80)),ISNUMBER(SEARCH("LIFESTYLE",C80))),"Lifestyle &amp; Personal Essentials",IF(OR(ISNUMBER(SEARCH("EMERGENCY",C80)),ISNUMBER(SEARCH("SWEEP",C80)),ISNUMBER(SEARCH("RESERVE",C80))),"Emergency Fund Allocation","Unallocated Flex Buffer")))))))))</f>
        <v/>
      </c>
      <c r="J80" s="39" t="inlineStr"/>
      <c r="K80" s="23">
        <f>IF(C80="","",IF(J80&lt;&gt;"",J80,I80))</f>
        <v/>
      </c>
      <c r="L80" s="40">
        <f>IF(A80="","",IF(ISNUMBER(A80),TEXT(A80,"mmm-yyyy"),"Oct-2026"))</f>
        <v/>
      </c>
      <c r="M80" s="40">
        <f>IF(D80&gt;=5000,"🚨 High Value Debit (₹"&amp;TEXT(D80,"#,##0")&amp;")",IF(D80&gt;=1000,"⚡ Notable Expense","—"))</f>
        <v/>
      </c>
    </row>
    <row r="81">
      <c r="A81" s="39" t="inlineStr"/>
      <c r="B81" s="39" t="inlineStr"/>
      <c r="C81" s="39" t="inlineStr"/>
      <c r="D81" s="41" t="inlineStr"/>
      <c r="E81" s="41" t="inlineStr"/>
      <c r="F81" s="41" t="inlineStr"/>
      <c r="G81" s="39" t="inlineStr"/>
      <c r="H81" s="26">
        <f>IF(C81="","",IF(E81&gt;0,"INCOME",IF(D81&gt;0,"EXPENSE","NEUTRAL")))</f>
        <v/>
      </c>
      <c r="I81" s="39">
        <f>IF(C81="","",=IF(OR(ISNUMBER(SEARCH("STIPEND",C81)),ISNUMBER(SEARCH("SIGMASOFT",C81)),ISNUMBER(SEARCH("SALARY",C81))),"Internship Stipend",IF(OR(ISNUMBER(SEARCH("FAMILY",C81)),ISNUMBER(SEARCH("PAPA",C81)),ISNUMBER(SEARCH("MOM",C81)),ISNUMBER(SEARCH("FATHER",C81))),"Family Support",IF(OR(ISNUMBER(SEARCH("PG",C81)),ISNUMBER(SEARCH("RENT",C81)),ISNUMBER(SEARCH("STANZA",C81)),ISNUMBER(SEARCH("ZOLO",C81))),"PG Rent &amp; Covered Meals",IF(OR(ISNUMBER(SEARCH("GROWW",C81)),ISNUMBER(SEARCH("ZERODHA",C81)),ISNUMBER(SEARCH("MUTUAL",C81)),ISNUMBER(SEARCH("SIP",C81)),ISNUMBER(SEARCH("NIPPON",C81))),"Monthly SIP Investment",IF(OR(ISNUMBER(SEARCH("BMTC",C81)),ISNUMBER(SEARCH("BUS",C81)),ISNUMBER(SEARCH("METRO",C81)),ISNUMBER(SEARCH("CHALO",C81))),"BMTC Bus Commute",IF(OR(ISNUMBER(SEARCH("SWIGGY",C81)),ISNUMBER(SEARCH("ZOMATO",C81)),ISNUMBER(SEARCH("CANTEEN",C81)),ISNUMBER(SEARCH("LUNCH",C81)),ISNUMBER(SEARCH("FOOD",C81)),ISNUMBER(SEARCH("SUBWAY",C81))),"Daily Office Lunch (Mon–Sat)",IF(OR(ISNUMBER(SEARCH("BLINKIT",C81)),ISNUMBER(SEARCH("ZEPTO",C81)),ISNUMBER(SEARCH("RECHARGE",C81)),ISNUMBER(SEARCH("JIO",C81)),ISNUMBER(SEARCH("AIRTEL",C81)),ISNUMBER(SEARCH("PHARMACY",C81)),ISNUMBER(SEARCH("APOLLO",C81)),ISNUMBER(SEARCH("ESSENTIALS",C81)),ISNUMBER(SEARCH("LIFESTYLE",C81))),"Lifestyle &amp; Personal Essentials",IF(OR(ISNUMBER(SEARCH("EMERGENCY",C81)),ISNUMBER(SEARCH("SWEEP",C81)),ISNUMBER(SEARCH("RESERVE",C81))),"Emergency Fund Allocation","Unallocated Flex Buffer")))))))))</f>
        <v/>
      </c>
      <c r="J81" s="39" t="inlineStr"/>
      <c r="K81" s="23">
        <f>IF(C81="","",IF(J81&lt;&gt;"",J81,I81))</f>
        <v/>
      </c>
      <c r="L81" s="40">
        <f>IF(A81="","",IF(ISNUMBER(A81),TEXT(A81,"mmm-yyyy"),"Oct-2026"))</f>
        <v/>
      </c>
      <c r="M81" s="40">
        <f>IF(D81&gt;=5000,"🚨 High Value Debit (₹"&amp;TEXT(D81,"#,##0")&amp;")",IF(D81&gt;=1000,"⚡ Notable Expense","—"))</f>
        <v/>
      </c>
    </row>
    <row r="82">
      <c r="A82" s="39" t="inlineStr"/>
      <c r="B82" s="39" t="inlineStr"/>
      <c r="C82" s="39" t="inlineStr"/>
      <c r="D82" s="41" t="inlineStr"/>
      <c r="E82" s="41" t="inlineStr"/>
      <c r="F82" s="41" t="inlineStr"/>
      <c r="G82" s="39" t="inlineStr"/>
      <c r="H82" s="26">
        <f>IF(C82="","",IF(E82&gt;0,"INCOME",IF(D82&gt;0,"EXPENSE","NEUTRAL")))</f>
        <v/>
      </c>
      <c r="I82" s="39">
        <f>IF(C82="","",=IF(OR(ISNUMBER(SEARCH("STIPEND",C82)),ISNUMBER(SEARCH("SIGMASOFT",C82)),ISNUMBER(SEARCH("SALARY",C82))),"Internship Stipend",IF(OR(ISNUMBER(SEARCH("FAMILY",C82)),ISNUMBER(SEARCH("PAPA",C82)),ISNUMBER(SEARCH("MOM",C82)),ISNUMBER(SEARCH("FATHER",C82))),"Family Support",IF(OR(ISNUMBER(SEARCH("PG",C82)),ISNUMBER(SEARCH("RENT",C82)),ISNUMBER(SEARCH("STANZA",C82)),ISNUMBER(SEARCH("ZOLO",C82))),"PG Rent &amp; Covered Meals",IF(OR(ISNUMBER(SEARCH("GROWW",C82)),ISNUMBER(SEARCH("ZERODHA",C82)),ISNUMBER(SEARCH("MUTUAL",C82)),ISNUMBER(SEARCH("SIP",C82)),ISNUMBER(SEARCH("NIPPON",C82))),"Monthly SIP Investment",IF(OR(ISNUMBER(SEARCH("BMTC",C82)),ISNUMBER(SEARCH("BUS",C82)),ISNUMBER(SEARCH("METRO",C82)),ISNUMBER(SEARCH("CHALO",C82))),"BMTC Bus Commute",IF(OR(ISNUMBER(SEARCH("SWIGGY",C82)),ISNUMBER(SEARCH("ZOMATO",C82)),ISNUMBER(SEARCH("CANTEEN",C82)),ISNUMBER(SEARCH("LUNCH",C82)),ISNUMBER(SEARCH("FOOD",C82)),ISNUMBER(SEARCH("SUBWAY",C82))),"Daily Office Lunch (Mon–Sat)",IF(OR(ISNUMBER(SEARCH("BLINKIT",C82)),ISNUMBER(SEARCH("ZEPTO",C82)),ISNUMBER(SEARCH("RECHARGE",C82)),ISNUMBER(SEARCH("JIO",C82)),ISNUMBER(SEARCH("AIRTEL",C82)),ISNUMBER(SEARCH("PHARMACY",C82)),ISNUMBER(SEARCH("APOLLO",C82)),ISNUMBER(SEARCH("ESSENTIALS",C82)),ISNUMBER(SEARCH("LIFESTYLE",C82))),"Lifestyle &amp; Personal Essentials",IF(OR(ISNUMBER(SEARCH("EMERGENCY",C82)),ISNUMBER(SEARCH("SWEEP",C82)),ISNUMBER(SEARCH("RESERVE",C82))),"Emergency Fund Allocation","Unallocated Flex Buffer")))))))))</f>
        <v/>
      </c>
      <c r="J82" s="39" t="inlineStr"/>
      <c r="K82" s="23">
        <f>IF(C82="","",IF(J82&lt;&gt;"",J82,I82))</f>
        <v/>
      </c>
      <c r="L82" s="40">
        <f>IF(A82="","",IF(ISNUMBER(A82),TEXT(A82,"mmm-yyyy"),"Oct-2026"))</f>
        <v/>
      </c>
      <c r="M82" s="40">
        <f>IF(D82&gt;=5000,"🚨 High Value Debit (₹"&amp;TEXT(D82,"#,##0")&amp;")",IF(D82&gt;=1000,"⚡ Notable Expense","—"))</f>
        <v/>
      </c>
    </row>
    <row r="83">
      <c r="A83" s="39" t="inlineStr"/>
      <c r="B83" s="39" t="inlineStr"/>
      <c r="C83" s="39" t="inlineStr"/>
      <c r="D83" s="41" t="inlineStr"/>
      <c r="E83" s="41" t="inlineStr"/>
      <c r="F83" s="41" t="inlineStr"/>
      <c r="G83" s="39" t="inlineStr"/>
      <c r="H83" s="26">
        <f>IF(C83="","",IF(E83&gt;0,"INCOME",IF(D83&gt;0,"EXPENSE","NEUTRAL")))</f>
        <v/>
      </c>
      <c r="I83" s="39">
        <f>IF(C83="","",=IF(OR(ISNUMBER(SEARCH("STIPEND",C83)),ISNUMBER(SEARCH("SIGMASOFT",C83)),ISNUMBER(SEARCH("SALARY",C83))),"Internship Stipend",IF(OR(ISNUMBER(SEARCH("FAMILY",C83)),ISNUMBER(SEARCH("PAPA",C83)),ISNUMBER(SEARCH("MOM",C83)),ISNUMBER(SEARCH("FATHER",C83))),"Family Support",IF(OR(ISNUMBER(SEARCH("PG",C83)),ISNUMBER(SEARCH("RENT",C83)),ISNUMBER(SEARCH("STANZA",C83)),ISNUMBER(SEARCH("ZOLO",C83))),"PG Rent &amp; Covered Meals",IF(OR(ISNUMBER(SEARCH("GROWW",C83)),ISNUMBER(SEARCH("ZERODHA",C83)),ISNUMBER(SEARCH("MUTUAL",C83)),ISNUMBER(SEARCH("SIP",C83)),ISNUMBER(SEARCH("NIPPON",C83))),"Monthly SIP Investment",IF(OR(ISNUMBER(SEARCH("BMTC",C83)),ISNUMBER(SEARCH("BUS",C83)),ISNUMBER(SEARCH("METRO",C83)),ISNUMBER(SEARCH("CHALO",C83))),"BMTC Bus Commute",IF(OR(ISNUMBER(SEARCH("SWIGGY",C83)),ISNUMBER(SEARCH("ZOMATO",C83)),ISNUMBER(SEARCH("CANTEEN",C83)),ISNUMBER(SEARCH("LUNCH",C83)),ISNUMBER(SEARCH("FOOD",C83)),ISNUMBER(SEARCH("SUBWAY",C83))),"Daily Office Lunch (Mon–Sat)",IF(OR(ISNUMBER(SEARCH("BLINKIT",C83)),ISNUMBER(SEARCH("ZEPTO",C83)),ISNUMBER(SEARCH("RECHARGE",C83)),ISNUMBER(SEARCH("JIO",C83)),ISNUMBER(SEARCH("AIRTEL",C83)),ISNUMBER(SEARCH("PHARMACY",C83)),ISNUMBER(SEARCH("APOLLO",C83)),ISNUMBER(SEARCH("ESSENTIALS",C83)),ISNUMBER(SEARCH("LIFESTYLE",C83))),"Lifestyle &amp; Personal Essentials",IF(OR(ISNUMBER(SEARCH("EMERGENCY",C83)),ISNUMBER(SEARCH("SWEEP",C83)),ISNUMBER(SEARCH("RESERVE",C83))),"Emergency Fund Allocation","Unallocated Flex Buffer")))))))))</f>
        <v/>
      </c>
      <c r="J83" s="39" t="inlineStr"/>
      <c r="K83" s="23">
        <f>IF(C83="","",IF(J83&lt;&gt;"",J83,I83))</f>
        <v/>
      </c>
      <c r="L83" s="40">
        <f>IF(A83="","",IF(ISNUMBER(A83),TEXT(A83,"mmm-yyyy"),"Oct-2026"))</f>
        <v/>
      </c>
      <c r="M83" s="40">
        <f>IF(D83&gt;=5000,"🚨 High Value Debit (₹"&amp;TEXT(D83,"#,##0")&amp;")",IF(D83&gt;=1000,"⚡ Notable Expense","—"))</f>
        <v/>
      </c>
    </row>
    <row r="84">
      <c r="A84" s="39" t="inlineStr"/>
      <c r="B84" s="39" t="inlineStr"/>
      <c r="C84" s="39" t="inlineStr"/>
      <c r="D84" s="41" t="inlineStr"/>
      <c r="E84" s="41" t="inlineStr"/>
      <c r="F84" s="41" t="inlineStr"/>
      <c r="G84" s="39" t="inlineStr"/>
      <c r="H84" s="26">
        <f>IF(C84="","",IF(E84&gt;0,"INCOME",IF(D84&gt;0,"EXPENSE","NEUTRAL")))</f>
        <v/>
      </c>
      <c r="I84" s="39">
        <f>IF(C84="","",=IF(OR(ISNUMBER(SEARCH("STIPEND",C84)),ISNUMBER(SEARCH("SIGMASOFT",C84)),ISNUMBER(SEARCH("SALARY",C84))),"Internship Stipend",IF(OR(ISNUMBER(SEARCH("FAMILY",C84)),ISNUMBER(SEARCH("PAPA",C84)),ISNUMBER(SEARCH("MOM",C84)),ISNUMBER(SEARCH("FATHER",C84))),"Family Support",IF(OR(ISNUMBER(SEARCH("PG",C84)),ISNUMBER(SEARCH("RENT",C84)),ISNUMBER(SEARCH("STANZA",C84)),ISNUMBER(SEARCH("ZOLO",C84))),"PG Rent &amp; Covered Meals",IF(OR(ISNUMBER(SEARCH("GROWW",C84)),ISNUMBER(SEARCH("ZERODHA",C84)),ISNUMBER(SEARCH("MUTUAL",C84)),ISNUMBER(SEARCH("SIP",C84)),ISNUMBER(SEARCH("NIPPON",C84))),"Monthly SIP Investment",IF(OR(ISNUMBER(SEARCH("BMTC",C84)),ISNUMBER(SEARCH("BUS",C84)),ISNUMBER(SEARCH("METRO",C84)),ISNUMBER(SEARCH("CHALO",C84))),"BMTC Bus Commute",IF(OR(ISNUMBER(SEARCH("SWIGGY",C84)),ISNUMBER(SEARCH("ZOMATO",C84)),ISNUMBER(SEARCH("CANTEEN",C84)),ISNUMBER(SEARCH("LUNCH",C84)),ISNUMBER(SEARCH("FOOD",C84)),ISNUMBER(SEARCH("SUBWAY",C84))),"Daily Office Lunch (Mon–Sat)",IF(OR(ISNUMBER(SEARCH("BLINKIT",C84)),ISNUMBER(SEARCH("ZEPTO",C84)),ISNUMBER(SEARCH("RECHARGE",C84)),ISNUMBER(SEARCH("JIO",C84)),ISNUMBER(SEARCH("AIRTEL",C84)),ISNUMBER(SEARCH("PHARMACY",C84)),ISNUMBER(SEARCH("APOLLO",C84)),ISNUMBER(SEARCH("ESSENTIALS",C84)),ISNUMBER(SEARCH("LIFESTYLE",C84))),"Lifestyle &amp; Personal Essentials",IF(OR(ISNUMBER(SEARCH("EMERGENCY",C84)),ISNUMBER(SEARCH("SWEEP",C84)),ISNUMBER(SEARCH("RESERVE",C84))),"Emergency Fund Allocation","Unallocated Flex Buffer")))))))))</f>
        <v/>
      </c>
      <c r="J84" s="39" t="inlineStr"/>
      <c r="K84" s="23">
        <f>IF(C84="","",IF(J84&lt;&gt;"",J84,I84))</f>
        <v/>
      </c>
      <c r="L84" s="40">
        <f>IF(A84="","",IF(ISNUMBER(A84),TEXT(A84,"mmm-yyyy"),"Oct-2026"))</f>
        <v/>
      </c>
      <c r="M84" s="40">
        <f>IF(D84&gt;=5000,"🚨 High Value Debit (₹"&amp;TEXT(D84,"#,##0")&amp;")",IF(D84&gt;=1000,"⚡ Notable Expense","—"))</f>
        <v/>
      </c>
    </row>
    <row r="85">
      <c r="A85" s="39" t="inlineStr"/>
      <c r="B85" s="39" t="inlineStr"/>
      <c r="C85" s="39" t="inlineStr"/>
      <c r="D85" s="41" t="inlineStr"/>
      <c r="E85" s="41" t="inlineStr"/>
      <c r="F85" s="41" t="inlineStr"/>
      <c r="G85" s="39" t="inlineStr"/>
      <c r="H85" s="26">
        <f>IF(C85="","",IF(E85&gt;0,"INCOME",IF(D85&gt;0,"EXPENSE","NEUTRAL")))</f>
        <v/>
      </c>
      <c r="I85" s="39">
        <f>IF(C85="","",=IF(OR(ISNUMBER(SEARCH("STIPEND",C85)),ISNUMBER(SEARCH("SIGMASOFT",C85)),ISNUMBER(SEARCH("SALARY",C85))),"Internship Stipend",IF(OR(ISNUMBER(SEARCH("FAMILY",C85)),ISNUMBER(SEARCH("PAPA",C85)),ISNUMBER(SEARCH("MOM",C85)),ISNUMBER(SEARCH("FATHER",C85))),"Family Support",IF(OR(ISNUMBER(SEARCH("PG",C85)),ISNUMBER(SEARCH("RENT",C85)),ISNUMBER(SEARCH("STANZA",C85)),ISNUMBER(SEARCH("ZOLO",C85))),"PG Rent &amp; Covered Meals",IF(OR(ISNUMBER(SEARCH("GROWW",C85)),ISNUMBER(SEARCH("ZERODHA",C85)),ISNUMBER(SEARCH("MUTUAL",C85)),ISNUMBER(SEARCH("SIP",C85)),ISNUMBER(SEARCH("NIPPON",C85))),"Monthly SIP Investment",IF(OR(ISNUMBER(SEARCH("BMTC",C85)),ISNUMBER(SEARCH("BUS",C85)),ISNUMBER(SEARCH("METRO",C85)),ISNUMBER(SEARCH("CHALO",C85))),"BMTC Bus Commute",IF(OR(ISNUMBER(SEARCH("SWIGGY",C85)),ISNUMBER(SEARCH("ZOMATO",C85)),ISNUMBER(SEARCH("CANTEEN",C85)),ISNUMBER(SEARCH("LUNCH",C85)),ISNUMBER(SEARCH("FOOD",C85)),ISNUMBER(SEARCH("SUBWAY",C85))),"Daily Office Lunch (Mon–Sat)",IF(OR(ISNUMBER(SEARCH("BLINKIT",C85)),ISNUMBER(SEARCH("ZEPTO",C85)),ISNUMBER(SEARCH("RECHARGE",C85)),ISNUMBER(SEARCH("JIO",C85)),ISNUMBER(SEARCH("AIRTEL",C85)),ISNUMBER(SEARCH("PHARMACY",C85)),ISNUMBER(SEARCH("APOLLO",C85)),ISNUMBER(SEARCH("ESSENTIALS",C85)),ISNUMBER(SEARCH("LIFESTYLE",C85))),"Lifestyle &amp; Personal Essentials",IF(OR(ISNUMBER(SEARCH("EMERGENCY",C85)),ISNUMBER(SEARCH("SWEEP",C85)),ISNUMBER(SEARCH("RESERVE",C85))),"Emergency Fund Allocation","Unallocated Flex Buffer")))))))))</f>
        <v/>
      </c>
      <c r="J85" s="39" t="inlineStr"/>
      <c r="K85" s="23">
        <f>IF(C85="","",IF(J85&lt;&gt;"",J85,I85))</f>
        <v/>
      </c>
      <c r="L85" s="40">
        <f>IF(A85="","",IF(ISNUMBER(A85),TEXT(A85,"mmm-yyyy"),"Oct-2026"))</f>
        <v/>
      </c>
      <c r="M85" s="40">
        <f>IF(D85&gt;=5000,"🚨 High Value Debit (₹"&amp;TEXT(D85,"#,##0")&amp;")",IF(D85&gt;=1000,"⚡ Notable Expense","—"))</f>
        <v/>
      </c>
    </row>
    <row r="86">
      <c r="A86" s="39" t="inlineStr"/>
      <c r="B86" s="39" t="inlineStr"/>
      <c r="C86" s="39" t="inlineStr"/>
      <c r="D86" s="41" t="inlineStr"/>
      <c r="E86" s="41" t="inlineStr"/>
      <c r="F86" s="41" t="inlineStr"/>
      <c r="G86" s="39" t="inlineStr"/>
      <c r="H86" s="26">
        <f>IF(C86="","",IF(E86&gt;0,"INCOME",IF(D86&gt;0,"EXPENSE","NEUTRAL")))</f>
        <v/>
      </c>
      <c r="I86" s="39">
        <f>IF(C86="","",=IF(OR(ISNUMBER(SEARCH("STIPEND",C86)),ISNUMBER(SEARCH("SIGMASOFT",C86)),ISNUMBER(SEARCH("SALARY",C86))),"Internship Stipend",IF(OR(ISNUMBER(SEARCH("FAMILY",C86)),ISNUMBER(SEARCH("PAPA",C86)),ISNUMBER(SEARCH("MOM",C86)),ISNUMBER(SEARCH("FATHER",C86))),"Family Support",IF(OR(ISNUMBER(SEARCH("PG",C86)),ISNUMBER(SEARCH("RENT",C86)),ISNUMBER(SEARCH("STANZA",C86)),ISNUMBER(SEARCH("ZOLO",C86))),"PG Rent &amp; Covered Meals",IF(OR(ISNUMBER(SEARCH("GROWW",C86)),ISNUMBER(SEARCH("ZERODHA",C86)),ISNUMBER(SEARCH("MUTUAL",C86)),ISNUMBER(SEARCH("SIP",C86)),ISNUMBER(SEARCH("NIPPON",C86))),"Monthly SIP Investment",IF(OR(ISNUMBER(SEARCH("BMTC",C86)),ISNUMBER(SEARCH("BUS",C86)),ISNUMBER(SEARCH("METRO",C86)),ISNUMBER(SEARCH("CHALO",C86))),"BMTC Bus Commute",IF(OR(ISNUMBER(SEARCH("SWIGGY",C86)),ISNUMBER(SEARCH("ZOMATO",C86)),ISNUMBER(SEARCH("CANTEEN",C86)),ISNUMBER(SEARCH("LUNCH",C86)),ISNUMBER(SEARCH("FOOD",C86)),ISNUMBER(SEARCH("SUBWAY",C86))),"Daily Office Lunch (Mon–Sat)",IF(OR(ISNUMBER(SEARCH("BLINKIT",C86)),ISNUMBER(SEARCH("ZEPTO",C86)),ISNUMBER(SEARCH("RECHARGE",C86)),ISNUMBER(SEARCH("JIO",C86)),ISNUMBER(SEARCH("AIRTEL",C86)),ISNUMBER(SEARCH("PHARMACY",C86)),ISNUMBER(SEARCH("APOLLO",C86)),ISNUMBER(SEARCH("ESSENTIALS",C86)),ISNUMBER(SEARCH("LIFESTYLE",C86))),"Lifestyle &amp; Personal Essentials",IF(OR(ISNUMBER(SEARCH("EMERGENCY",C86)),ISNUMBER(SEARCH("SWEEP",C86)),ISNUMBER(SEARCH("RESERVE",C86))),"Emergency Fund Allocation","Unallocated Flex Buffer")))))))))</f>
        <v/>
      </c>
      <c r="J86" s="39" t="inlineStr"/>
      <c r="K86" s="23">
        <f>IF(C86="","",IF(J86&lt;&gt;"",J86,I86))</f>
        <v/>
      </c>
      <c r="L86" s="40">
        <f>IF(A86="","",IF(ISNUMBER(A86),TEXT(A86,"mmm-yyyy"),"Oct-2026"))</f>
        <v/>
      </c>
      <c r="M86" s="40">
        <f>IF(D86&gt;=5000,"🚨 High Value Debit (₹"&amp;TEXT(D86,"#,##0")&amp;")",IF(D86&gt;=1000,"⚡ Notable Expense","—"))</f>
        <v/>
      </c>
    </row>
    <row r="87">
      <c r="A87" s="39" t="inlineStr"/>
      <c r="B87" s="39" t="inlineStr"/>
      <c r="C87" s="39" t="inlineStr"/>
      <c r="D87" s="41" t="inlineStr"/>
      <c r="E87" s="41" t="inlineStr"/>
      <c r="F87" s="41" t="inlineStr"/>
      <c r="G87" s="39" t="inlineStr"/>
      <c r="H87" s="26">
        <f>IF(C87="","",IF(E87&gt;0,"INCOME",IF(D87&gt;0,"EXPENSE","NEUTRAL")))</f>
        <v/>
      </c>
      <c r="I87" s="39">
        <f>IF(C87="","",=IF(OR(ISNUMBER(SEARCH("STIPEND",C87)),ISNUMBER(SEARCH("SIGMASOFT",C87)),ISNUMBER(SEARCH("SALARY",C87))),"Internship Stipend",IF(OR(ISNUMBER(SEARCH("FAMILY",C87)),ISNUMBER(SEARCH("PAPA",C87)),ISNUMBER(SEARCH("MOM",C87)),ISNUMBER(SEARCH("FATHER",C87))),"Family Support",IF(OR(ISNUMBER(SEARCH("PG",C87)),ISNUMBER(SEARCH("RENT",C87)),ISNUMBER(SEARCH("STANZA",C87)),ISNUMBER(SEARCH("ZOLO",C87))),"PG Rent &amp; Covered Meals",IF(OR(ISNUMBER(SEARCH("GROWW",C87)),ISNUMBER(SEARCH("ZERODHA",C87)),ISNUMBER(SEARCH("MUTUAL",C87)),ISNUMBER(SEARCH("SIP",C87)),ISNUMBER(SEARCH("NIPPON",C87))),"Monthly SIP Investment",IF(OR(ISNUMBER(SEARCH("BMTC",C87)),ISNUMBER(SEARCH("BUS",C87)),ISNUMBER(SEARCH("METRO",C87)),ISNUMBER(SEARCH("CHALO",C87))),"BMTC Bus Commute",IF(OR(ISNUMBER(SEARCH("SWIGGY",C87)),ISNUMBER(SEARCH("ZOMATO",C87)),ISNUMBER(SEARCH("CANTEEN",C87)),ISNUMBER(SEARCH("LUNCH",C87)),ISNUMBER(SEARCH("FOOD",C87)),ISNUMBER(SEARCH("SUBWAY",C87))),"Daily Office Lunch (Mon–Sat)",IF(OR(ISNUMBER(SEARCH("BLINKIT",C87)),ISNUMBER(SEARCH("ZEPTO",C87)),ISNUMBER(SEARCH("RECHARGE",C87)),ISNUMBER(SEARCH("JIO",C87)),ISNUMBER(SEARCH("AIRTEL",C87)),ISNUMBER(SEARCH("PHARMACY",C87)),ISNUMBER(SEARCH("APOLLO",C87)),ISNUMBER(SEARCH("ESSENTIALS",C87)),ISNUMBER(SEARCH("LIFESTYLE",C87))),"Lifestyle &amp; Personal Essentials",IF(OR(ISNUMBER(SEARCH("EMERGENCY",C87)),ISNUMBER(SEARCH("SWEEP",C87)),ISNUMBER(SEARCH("RESERVE",C87))),"Emergency Fund Allocation","Unallocated Flex Buffer")))))))))</f>
        <v/>
      </c>
      <c r="J87" s="39" t="inlineStr"/>
      <c r="K87" s="23">
        <f>IF(C87="","",IF(J87&lt;&gt;"",J87,I87))</f>
        <v/>
      </c>
      <c r="L87" s="40">
        <f>IF(A87="","",IF(ISNUMBER(A87),TEXT(A87,"mmm-yyyy"),"Oct-2026"))</f>
        <v/>
      </c>
      <c r="M87" s="40">
        <f>IF(D87&gt;=5000,"🚨 High Value Debit (₹"&amp;TEXT(D87,"#,##0")&amp;")",IF(D87&gt;=1000,"⚡ Notable Expense","—"))</f>
        <v/>
      </c>
    </row>
    <row r="88">
      <c r="A88" s="39" t="inlineStr"/>
      <c r="B88" s="39" t="inlineStr"/>
      <c r="C88" s="39" t="inlineStr"/>
      <c r="D88" s="41" t="inlineStr"/>
      <c r="E88" s="41" t="inlineStr"/>
      <c r="F88" s="41" t="inlineStr"/>
      <c r="G88" s="39" t="inlineStr"/>
      <c r="H88" s="26">
        <f>IF(C88="","",IF(E88&gt;0,"INCOME",IF(D88&gt;0,"EXPENSE","NEUTRAL")))</f>
        <v/>
      </c>
      <c r="I88" s="39">
        <f>IF(C88="","",=IF(OR(ISNUMBER(SEARCH("STIPEND",C88)),ISNUMBER(SEARCH("SIGMASOFT",C88)),ISNUMBER(SEARCH("SALARY",C88))),"Internship Stipend",IF(OR(ISNUMBER(SEARCH("FAMILY",C88)),ISNUMBER(SEARCH("PAPA",C88)),ISNUMBER(SEARCH("MOM",C88)),ISNUMBER(SEARCH("FATHER",C88))),"Family Support",IF(OR(ISNUMBER(SEARCH("PG",C88)),ISNUMBER(SEARCH("RENT",C88)),ISNUMBER(SEARCH("STANZA",C88)),ISNUMBER(SEARCH("ZOLO",C88))),"PG Rent &amp; Covered Meals",IF(OR(ISNUMBER(SEARCH("GROWW",C88)),ISNUMBER(SEARCH("ZERODHA",C88)),ISNUMBER(SEARCH("MUTUAL",C88)),ISNUMBER(SEARCH("SIP",C88)),ISNUMBER(SEARCH("NIPPON",C88))),"Monthly SIP Investment",IF(OR(ISNUMBER(SEARCH("BMTC",C88)),ISNUMBER(SEARCH("BUS",C88)),ISNUMBER(SEARCH("METRO",C88)),ISNUMBER(SEARCH("CHALO",C88))),"BMTC Bus Commute",IF(OR(ISNUMBER(SEARCH("SWIGGY",C88)),ISNUMBER(SEARCH("ZOMATO",C88)),ISNUMBER(SEARCH("CANTEEN",C88)),ISNUMBER(SEARCH("LUNCH",C88)),ISNUMBER(SEARCH("FOOD",C88)),ISNUMBER(SEARCH("SUBWAY",C88))),"Daily Office Lunch (Mon–Sat)",IF(OR(ISNUMBER(SEARCH("BLINKIT",C88)),ISNUMBER(SEARCH("ZEPTO",C88)),ISNUMBER(SEARCH("RECHARGE",C88)),ISNUMBER(SEARCH("JIO",C88)),ISNUMBER(SEARCH("AIRTEL",C88)),ISNUMBER(SEARCH("PHARMACY",C88)),ISNUMBER(SEARCH("APOLLO",C88)),ISNUMBER(SEARCH("ESSENTIALS",C88)),ISNUMBER(SEARCH("LIFESTYLE",C88))),"Lifestyle &amp; Personal Essentials",IF(OR(ISNUMBER(SEARCH("EMERGENCY",C88)),ISNUMBER(SEARCH("SWEEP",C88)),ISNUMBER(SEARCH("RESERVE",C88))),"Emergency Fund Allocation","Unallocated Flex Buffer")))))))))</f>
        <v/>
      </c>
      <c r="J88" s="39" t="inlineStr"/>
      <c r="K88" s="23">
        <f>IF(C88="","",IF(J88&lt;&gt;"",J88,I88))</f>
        <v/>
      </c>
      <c r="L88" s="40">
        <f>IF(A88="","",IF(ISNUMBER(A88),TEXT(A88,"mmm-yyyy"),"Oct-2026"))</f>
        <v/>
      </c>
      <c r="M88" s="40">
        <f>IF(D88&gt;=5000,"🚨 High Value Debit (₹"&amp;TEXT(D88,"#,##0")&amp;")",IF(D88&gt;=1000,"⚡ Notable Expense","—"))</f>
        <v/>
      </c>
    </row>
    <row r="89">
      <c r="A89" s="39" t="inlineStr"/>
      <c r="B89" s="39" t="inlineStr"/>
      <c r="C89" s="39" t="inlineStr"/>
      <c r="D89" s="41" t="inlineStr"/>
      <c r="E89" s="41" t="inlineStr"/>
      <c r="F89" s="41" t="inlineStr"/>
      <c r="G89" s="39" t="inlineStr"/>
      <c r="H89" s="26">
        <f>IF(C89="","",IF(E89&gt;0,"INCOME",IF(D89&gt;0,"EXPENSE","NEUTRAL")))</f>
        <v/>
      </c>
      <c r="I89" s="39">
        <f>IF(C89="","",=IF(OR(ISNUMBER(SEARCH("STIPEND",C89)),ISNUMBER(SEARCH("SIGMASOFT",C89)),ISNUMBER(SEARCH("SALARY",C89))),"Internship Stipend",IF(OR(ISNUMBER(SEARCH("FAMILY",C89)),ISNUMBER(SEARCH("PAPA",C89)),ISNUMBER(SEARCH("MOM",C89)),ISNUMBER(SEARCH("FATHER",C89))),"Family Support",IF(OR(ISNUMBER(SEARCH("PG",C89)),ISNUMBER(SEARCH("RENT",C89)),ISNUMBER(SEARCH("STANZA",C89)),ISNUMBER(SEARCH("ZOLO",C89))),"PG Rent &amp; Covered Meals",IF(OR(ISNUMBER(SEARCH("GROWW",C89)),ISNUMBER(SEARCH("ZERODHA",C89)),ISNUMBER(SEARCH("MUTUAL",C89)),ISNUMBER(SEARCH("SIP",C89)),ISNUMBER(SEARCH("NIPPON",C89))),"Monthly SIP Investment",IF(OR(ISNUMBER(SEARCH("BMTC",C89)),ISNUMBER(SEARCH("BUS",C89)),ISNUMBER(SEARCH("METRO",C89)),ISNUMBER(SEARCH("CHALO",C89))),"BMTC Bus Commute",IF(OR(ISNUMBER(SEARCH("SWIGGY",C89)),ISNUMBER(SEARCH("ZOMATO",C89)),ISNUMBER(SEARCH("CANTEEN",C89)),ISNUMBER(SEARCH("LUNCH",C89)),ISNUMBER(SEARCH("FOOD",C89)),ISNUMBER(SEARCH("SUBWAY",C89))),"Daily Office Lunch (Mon–Sat)",IF(OR(ISNUMBER(SEARCH("BLINKIT",C89)),ISNUMBER(SEARCH("ZEPTO",C89)),ISNUMBER(SEARCH("RECHARGE",C89)),ISNUMBER(SEARCH("JIO",C89)),ISNUMBER(SEARCH("AIRTEL",C89)),ISNUMBER(SEARCH("PHARMACY",C89)),ISNUMBER(SEARCH("APOLLO",C89)),ISNUMBER(SEARCH("ESSENTIALS",C89)),ISNUMBER(SEARCH("LIFESTYLE",C89))),"Lifestyle &amp; Personal Essentials",IF(OR(ISNUMBER(SEARCH("EMERGENCY",C89)),ISNUMBER(SEARCH("SWEEP",C89)),ISNUMBER(SEARCH("RESERVE",C89))),"Emergency Fund Allocation","Unallocated Flex Buffer")))))))))</f>
        <v/>
      </c>
      <c r="J89" s="39" t="inlineStr"/>
      <c r="K89" s="23">
        <f>IF(C89="","",IF(J89&lt;&gt;"",J89,I89))</f>
        <v/>
      </c>
      <c r="L89" s="40">
        <f>IF(A89="","",IF(ISNUMBER(A89),TEXT(A89,"mmm-yyyy"),"Oct-2026"))</f>
        <v/>
      </c>
      <c r="M89" s="40">
        <f>IF(D89&gt;=5000,"🚨 High Value Debit (₹"&amp;TEXT(D89,"#,##0")&amp;")",IF(D89&gt;=1000,"⚡ Notable Expense","—"))</f>
        <v/>
      </c>
    </row>
    <row r="90">
      <c r="A90" s="39" t="inlineStr"/>
      <c r="B90" s="39" t="inlineStr"/>
      <c r="C90" s="39" t="inlineStr"/>
      <c r="D90" s="41" t="inlineStr"/>
      <c r="E90" s="41" t="inlineStr"/>
      <c r="F90" s="41" t="inlineStr"/>
      <c r="G90" s="39" t="inlineStr"/>
      <c r="H90" s="26">
        <f>IF(C90="","",IF(E90&gt;0,"INCOME",IF(D90&gt;0,"EXPENSE","NEUTRAL")))</f>
        <v/>
      </c>
      <c r="I90" s="39">
        <f>IF(C90="","",=IF(OR(ISNUMBER(SEARCH("STIPEND",C90)),ISNUMBER(SEARCH("SIGMASOFT",C90)),ISNUMBER(SEARCH("SALARY",C90))),"Internship Stipend",IF(OR(ISNUMBER(SEARCH("FAMILY",C90)),ISNUMBER(SEARCH("PAPA",C90)),ISNUMBER(SEARCH("MOM",C90)),ISNUMBER(SEARCH("FATHER",C90))),"Family Support",IF(OR(ISNUMBER(SEARCH("PG",C90)),ISNUMBER(SEARCH("RENT",C90)),ISNUMBER(SEARCH("STANZA",C90)),ISNUMBER(SEARCH("ZOLO",C90))),"PG Rent &amp; Covered Meals",IF(OR(ISNUMBER(SEARCH("GROWW",C90)),ISNUMBER(SEARCH("ZERODHA",C90)),ISNUMBER(SEARCH("MUTUAL",C90)),ISNUMBER(SEARCH("SIP",C90)),ISNUMBER(SEARCH("NIPPON",C90))),"Monthly SIP Investment",IF(OR(ISNUMBER(SEARCH("BMTC",C90)),ISNUMBER(SEARCH("BUS",C90)),ISNUMBER(SEARCH("METRO",C90)),ISNUMBER(SEARCH("CHALO",C90))),"BMTC Bus Commute",IF(OR(ISNUMBER(SEARCH("SWIGGY",C90)),ISNUMBER(SEARCH("ZOMATO",C90)),ISNUMBER(SEARCH("CANTEEN",C90)),ISNUMBER(SEARCH("LUNCH",C90)),ISNUMBER(SEARCH("FOOD",C90)),ISNUMBER(SEARCH("SUBWAY",C90))),"Daily Office Lunch (Mon–Sat)",IF(OR(ISNUMBER(SEARCH("BLINKIT",C90)),ISNUMBER(SEARCH("ZEPTO",C90)),ISNUMBER(SEARCH("RECHARGE",C90)),ISNUMBER(SEARCH("JIO",C90)),ISNUMBER(SEARCH("AIRTEL",C90)),ISNUMBER(SEARCH("PHARMACY",C90)),ISNUMBER(SEARCH("APOLLO",C90)),ISNUMBER(SEARCH("ESSENTIALS",C90)),ISNUMBER(SEARCH("LIFESTYLE",C90))),"Lifestyle &amp; Personal Essentials",IF(OR(ISNUMBER(SEARCH("EMERGENCY",C90)),ISNUMBER(SEARCH("SWEEP",C90)),ISNUMBER(SEARCH("RESERVE",C90))),"Emergency Fund Allocation","Unallocated Flex Buffer")))))))))</f>
        <v/>
      </c>
      <c r="J90" s="39" t="inlineStr"/>
      <c r="K90" s="23">
        <f>IF(C90="","",IF(J90&lt;&gt;"",J90,I90))</f>
        <v/>
      </c>
      <c r="L90" s="40">
        <f>IF(A90="","",IF(ISNUMBER(A90),TEXT(A90,"mmm-yyyy"),"Oct-2026"))</f>
        <v/>
      </c>
      <c r="M90" s="40">
        <f>IF(D90&gt;=5000,"🚨 High Value Debit (₹"&amp;TEXT(D90,"#,##0")&amp;")",IF(D90&gt;=1000,"⚡ Notable Expense","—"))</f>
        <v/>
      </c>
    </row>
    <row r="91">
      <c r="A91" s="39" t="inlineStr"/>
      <c r="B91" s="39" t="inlineStr"/>
      <c r="C91" s="39" t="inlineStr"/>
      <c r="D91" s="41" t="inlineStr"/>
      <c r="E91" s="41" t="inlineStr"/>
      <c r="F91" s="41" t="inlineStr"/>
      <c r="G91" s="39" t="inlineStr"/>
      <c r="H91" s="26">
        <f>IF(C91="","",IF(E91&gt;0,"INCOME",IF(D91&gt;0,"EXPENSE","NEUTRAL")))</f>
        <v/>
      </c>
      <c r="I91" s="39">
        <f>IF(C91="","",=IF(OR(ISNUMBER(SEARCH("STIPEND",C91)),ISNUMBER(SEARCH("SIGMASOFT",C91)),ISNUMBER(SEARCH("SALARY",C91))),"Internship Stipend",IF(OR(ISNUMBER(SEARCH("FAMILY",C91)),ISNUMBER(SEARCH("PAPA",C91)),ISNUMBER(SEARCH("MOM",C91)),ISNUMBER(SEARCH("FATHER",C91))),"Family Support",IF(OR(ISNUMBER(SEARCH("PG",C91)),ISNUMBER(SEARCH("RENT",C91)),ISNUMBER(SEARCH("STANZA",C91)),ISNUMBER(SEARCH("ZOLO",C91))),"PG Rent &amp; Covered Meals",IF(OR(ISNUMBER(SEARCH("GROWW",C91)),ISNUMBER(SEARCH("ZERODHA",C91)),ISNUMBER(SEARCH("MUTUAL",C91)),ISNUMBER(SEARCH("SIP",C91)),ISNUMBER(SEARCH("NIPPON",C91))),"Monthly SIP Investment",IF(OR(ISNUMBER(SEARCH("BMTC",C91)),ISNUMBER(SEARCH("BUS",C91)),ISNUMBER(SEARCH("METRO",C91)),ISNUMBER(SEARCH("CHALO",C91))),"BMTC Bus Commute",IF(OR(ISNUMBER(SEARCH("SWIGGY",C91)),ISNUMBER(SEARCH("ZOMATO",C91)),ISNUMBER(SEARCH("CANTEEN",C91)),ISNUMBER(SEARCH("LUNCH",C91)),ISNUMBER(SEARCH("FOOD",C91)),ISNUMBER(SEARCH("SUBWAY",C91))),"Daily Office Lunch (Mon–Sat)",IF(OR(ISNUMBER(SEARCH("BLINKIT",C91)),ISNUMBER(SEARCH("ZEPTO",C91)),ISNUMBER(SEARCH("RECHARGE",C91)),ISNUMBER(SEARCH("JIO",C91)),ISNUMBER(SEARCH("AIRTEL",C91)),ISNUMBER(SEARCH("PHARMACY",C91)),ISNUMBER(SEARCH("APOLLO",C91)),ISNUMBER(SEARCH("ESSENTIALS",C91)),ISNUMBER(SEARCH("LIFESTYLE",C91))),"Lifestyle &amp; Personal Essentials",IF(OR(ISNUMBER(SEARCH("EMERGENCY",C91)),ISNUMBER(SEARCH("SWEEP",C91)),ISNUMBER(SEARCH("RESERVE",C91))),"Emergency Fund Allocation","Unallocated Flex Buffer")))))))))</f>
        <v/>
      </c>
      <c r="J91" s="39" t="inlineStr"/>
      <c r="K91" s="23">
        <f>IF(C91="","",IF(J91&lt;&gt;"",J91,I91))</f>
        <v/>
      </c>
      <c r="L91" s="40">
        <f>IF(A91="","",IF(ISNUMBER(A91),TEXT(A91,"mmm-yyyy"),"Oct-2026"))</f>
        <v/>
      </c>
      <c r="M91" s="40">
        <f>IF(D91&gt;=5000,"🚨 High Value Debit (₹"&amp;TEXT(D91,"#,##0")&amp;")",IF(D91&gt;=1000,"⚡ Notable Expense","—"))</f>
        <v/>
      </c>
    </row>
    <row r="92">
      <c r="A92" s="39" t="inlineStr"/>
      <c r="B92" s="39" t="inlineStr"/>
      <c r="C92" s="39" t="inlineStr"/>
      <c r="D92" s="41" t="inlineStr"/>
      <c r="E92" s="41" t="inlineStr"/>
      <c r="F92" s="41" t="inlineStr"/>
      <c r="G92" s="39" t="inlineStr"/>
      <c r="H92" s="26">
        <f>IF(C92="","",IF(E92&gt;0,"INCOME",IF(D92&gt;0,"EXPENSE","NEUTRAL")))</f>
        <v/>
      </c>
      <c r="I92" s="39">
        <f>IF(C92="","",=IF(OR(ISNUMBER(SEARCH("STIPEND",C92)),ISNUMBER(SEARCH("SIGMASOFT",C92)),ISNUMBER(SEARCH("SALARY",C92))),"Internship Stipend",IF(OR(ISNUMBER(SEARCH("FAMILY",C92)),ISNUMBER(SEARCH("PAPA",C92)),ISNUMBER(SEARCH("MOM",C92)),ISNUMBER(SEARCH("FATHER",C92))),"Family Support",IF(OR(ISNUMBER(SEARCH("PG",C92)),ISNUMBER(SEARCH("RENT",C92)),ISNUMBER(SEARCH("STANZA",C92)),ISNUMBER(SEARCH("ZOLO",C92))),"PG Rent &amp; Covered Meals",IF(OR(ISNUMBER(SEARCH("GROWW",C92)),ISNUMBER(SEARCH("ZERODHA",C92)),ISNUMBER(SEARCH("MUTUAL",C92)),ISNUMBER(SEARCH("SIP",C92)),ISNUMBER(SEARCH("NIPPON",C92))),"Monthly SIP Investment",IF(OR(ISNUMBER(SEARCH("BMTC",C92)),ISNUMBER(SEARCH("BUS",C92)),ISNUMBER(SEARCH("METRO",C92)),ISNUMBER(SEARCH("CHALO",C92))),"BMTC Bus Commute",IF(OR(ISNUMBER(SEARCH("SWIGGY",C92)),ISNUMBER(SEARCH("ZOMATO",C92)),ISNUMBER(SEARCH("CANTEEN",C92)),ISNUMBER(SEARCH("LUNCH",C92)),ISNUMBER(SEARCH("FOOD",C92)),ISNUMBER(SEARCH("SUBWAY",C92))),"Daily Office Lunch (Mon–Sat)",IF(OR(ISNUMBER(SEARCH("BLINKIT",C92)),ISNUMBER(SEARCH("ZEPTO",C92)),ISNUMBER(SEARCH("RECHARGE",C92)),ISNUMBER(SEARCH("JIO",C92)),ISNUMBER(SEARCH("AIRTEL",C92)),ISNUMBER(SEARCH("PHARMACY",C92)),ISNUMBER(SEARCH("APOLLO",C92)),ISNUMBER(SEARCH("ESSENTIALS",C92)),ISNUMBER(SEARCH("LIFESTYLE",C92))),"Lifestyle &amp; Personal Essentials",IF(OR(ISNUMBER(SEARCH("EMERGENCY",C92)),ISNUMBER(SEARCH("SWEEP",C92)),ISNUMBER(SEARCH("RESERVE",C92))),"Emergency Fund Allocation","Unallocated Flex Buffer")))))))))</f>
        <v/>
      </c>
      <c r="J92" s="39" t="inlineStr"/>
      <c r="K92" s="23">
        <f>IF(C92="","",IF(J92&lt;&gt;"",J92,I92))</f>
        <v/>
      </c>
      <c r="L92" s="40">
        <f>IF(A92="","",IF(ISNUMBER(A92),TEXT(A92,"mmm-yyyy"),"Oct-2026"))</f>
        <v/>
      </c>
      <c r="M92" s="40">
        <f>IF(D92&gt;=5000,"🚨 High Value Debit (₹"&amp;TEXT(D92,"#,##0")&amp;")",IF(D92&gt;=1000,"⚡ Notable Expense","—"))</f>
        <v/>
      </c>
    </row>
    <row r="93">
      <c r="A93" s="39" t="inlineStr"/>
      <c r="B93" s="39" t="inlineStr"/>
      <c r="C93" s="39" t="inlineStr"/>
      <c r="D93" s="41" t="inlineStr"/>
      <c r="E93" s="41" t="inlineStr"/>
      <c r="F93" s="41" t="inlineStr"/>
      <c r="G93" s="39" t="inlineStr"/>
      <c r="H93" s="26">
        <f>IF(C93="","",IF(E93&gt;0,"INCOME",IF(D93&gt;0,"EXPENSE","NEUTRAL")))</f>
        <v/>
      </c>
      <c r="I93" s="39">
        <f>IF(C93="","",=IF(OR(ISNUMBER(SEARCH("STIPEND",C93)),ISNUMBER(SEARCH("SIGMASOFT",C93)),ISNUMBER(SEARCH("SALARY",C93))),"Internship Stipend",IF(OR(ISNUMBER(SEARCH("FAMILY",C93)),ISNUMBER(SEARCH("PAPA",C93)),ISNUMBER(SEARCH("MOM",C93)),ISNUMBER(SEARCH("FATHER",C93))),"Family Support",IF(OR(ISNUMBER(SEARCH("PG",C93)),ISNUMBER(SEARCH("RENT",C93)),ISNUMBER(SEARCH("STANZA",C93)),ISNUMBER(SEARCH("ZOLO",C93))),"PG Rent &amp; Covered Meals",IF(OR(ISNUMBER(SEARCH("GROWW",C93)),ISNUMBER(SEARCH("ZERODHA",C93)),ISNUMBER(SEARCH("MUTUAL",C93)),ISNUMBER(SEARCH("SIP",C93)),ISNUMBER(SEARCH("NIPPON",C93))),"Monthly SIP Investment",IF(OR(ISNUMBER(SEARCH("BMTC",C93)),ISNUMBER(SEARCH("BUS",C93)),ISNUMBER(SEARCH("METRO",C93)),ISNUMBER(SEARCH("CHALO",C93))),"BMTC Bus Commute",IF(OR(ISNUMBER(SEARCH("SWIGGY",C93)),ISNUMBER(SEARCH("ZOMATO",C93)),ISNUMBER(SEARCH("CANTEEN",C93)),ISNUMBER(SEARCH("LUNCH",C93)),ISNUMBER(SEARCH("FOOD",C93)),ISNUMBER(SEARCH("SUBWAY",C93))),"Daily Office Lunch (Mon–Sat)",IF(OR(ISNUMBER(SEARCH("BLINKIT",C93)),ISNUMBER(SEARCH("ZEPTO",C93)),ISNUMBER(SEARCH("RECHARGE",C93)),ISNUMBER(SEARCH("JIO",C93)),ISNUMBER(SEARCH("AIRTEL",C93)),ISNUMBER(SEARCH("PHARMACY",C93)),ISNUMBER(SEARCH("APOLLO",C93)),ISNUMBER(SEARCH("ESSENTIALS",C93)),ISNUMBER(SEARCH("LIFESTYLE",C93))),"Lifestyle &amp; Personal Essentials",IF(OR(ISNUMBER(SEARCH("EMERGENCY",C93)),ISNUMBER(SEARCH("SWEEP",C93)),ISNUMBER(SEARCH("RESERVE",C93))),"Emergency Fund Allocation","Unallocated Flex Buffer")))))))))</f>
        <v/>
      </c>
      <c r="J93" s="39" t="inlineStr"/>
      <c r="K93" s="23">
        <f>IF(C93="","",IF(J93&lt;&gt;"",J93,I93))</f>
        <v/>
      </c>
      <c r="L93" s="40">
        <f>IF(A93="","",IF(ISNUMBER(A93),TEXT(A93,"mmm-yyyy"),"Oct-2026"))</f>
        <v/>
      </c>
      <c r="M93" s="40">
        <f>IF(D93&gt;=5000,"🚨 High Value Debit (₹"&amp;TEXT(D93,"#,##0")&amp;")",IF(D93&gt;=1000,"⚡ Notable Expense","—"))</f>
        <v/>
      </c>
    </row>
    <row r="94">
      <c r="A94" s="39" t="inlineStr"/>
      <c r="B94" s="39" t="inlineStr"/>
      <c r="C94" s="39" t="inlineStr"/>
      <c r="D94" s="41" t="inlineStr"/>
      <c r="E94" s="41" t="inlineStr"/>
      <c r="F94" s="41" t="inlineStr"/>
      <c r="G94" s="39" t="inlineStr"/>
      <c r="H94" s="26">
        <f>IF(C94="","",IF(E94&gt;0,"INCOME",IF(D94&gt;0,"EXPENSE","NEUTRAL")))</f>
        <v/>
      </c>
      <c r="I94" s="39">
        <f>IF(C94="","",=IF(OR(ISNUMBER(SEARCH("STIPEND",C94)),ISNUMBER(SEARCH("SIGMASOFT",C94)),ISNUMBER(SEARCH("SALARY",C94))),"Internship Stipend",IF(OR(ISNUMBER(SEARCH("FAMILY",C94)),ISNUMBER(SEARCH("PAPA",C94)),ISNUMBER(SEARCH("MOM",C94)),ISNUMBER(SEARCH("FATHER",C94))),"Family Support",IF(OR(ISNUMBER(SEARCH("PG",C94)),ISNUMBER(SEARCH("RENT",C94)),ISNUMBER(SEARCH("STANZA",C94)),ISNUMBER(SEARCH("ZOLO",C94))),"PG Rent &amp; Covered Meals",IF(OR(ISNUMBER(SEARCH("GROWW",C94)),ISNUMBER(SEARCH("ZERODHA",C94)),ISNUMBER(SEARCH("MUTUAL",C94)),ISNUMBER(SEARCH("SIP",C94)),ISNUMBER(SEARCH("NIPPON",C94))),"Monthly SIP Investment",IF(OR(ISNUMBER(SEARCH("BMTC",C94)),ISNUMBER(SEARCH("BUS",C94)),ISNUMBER(SEARCH("METRO",C94)),ISNUMBER(SEARCH("CHALO",C94))),"BMTC Bus Commute",IF(OR(ISNUMBER(SEARCH("SWIGGY",C94)),ISNUMBER(SEARCH("ZOMATO",C94)),ISNUMBER(SEARCH("CANTEEN",C94)),ISNUMBER(SEARCH("LUNCH",C94)),ISNUMBER(SEARCH("FOOD",C94)),ISNUMBER(SEARCH("SUBWAY",C94))),"Daily Office Lunch (Mon–Sat)",IF(OR(ISNUMBER(SEARCH("BLINKIT",C94)),ISNUMBER(SEARCH("ZEPTO",C94)),ISNUMBER(SEARCH("RECHARGE",C94)),ISNUMBER(SEARCH("JIO",C94)),ISNUMBER(SEARCH("AIRTEL",C94)),ISNUMBER(SEARCH("PHARMACY",C94)),ISNUMBER(SEARCH("APOLLO",C94)),ISNUMBER(SEARCH("ESSENTIALS",C94)),ISNUMBER(SEARCH("LIFESTYLE",C94))),"Lifestyle &amp; Personal Essentials",IF(OR(ISNUMBER(SEARCH("EMERGENCY",C94)),ISNUMBER(SEARCH("SWEEP",C94)),ISNUMBER(SEARCH("RESERVE",C94))),"Emergency Fund Allocation","Unallocated Flex Buffer")))))))))</f>
        <v/>
      </c>
      <c r="J94" s="39" t="inlineStr"/>
      <c r="K94" s="23">
        <f>IF(C94="","",IF(J94&lt;&gt;"",J94,I94))</f>
        <v/>
      </c>
      <c r="L94" s="40">
        <f>IF(A94="","",IF(ISNUMBER(A94),TEXT(A94,"mmm-yyyy"),"Oct-2026"))</f>
        <v/>
      </c>
      <c r="M94" s="40">
        <f>IF(D94&gt;=5000,"🚨 High Value Debit (₹"&amp;TEXT(D94,"#,##0")&amp;")",IF(D94&gt;=1000,"⚡ Notable Expense","—"))</f>
        <v/>
      </c>
    </row>
    <row r="95">
      <c r="A95" s="39" t="inlineStr"/>
      <c r="B95" s="39" t="inlineStr"/>
      <c r="C95" s="39" t="inlineStr"/>
      <c r="D95" s="41" t="inlineStr"/>
      <c r="E95" s="41" t="inlineStr"/>
      <c r="F95" s="41" t="inlineStr"/>
      <c r="G95" s="39" t="inlineStr"/>
      <c r="H95" s="26">
        <f>IF(C95="","",IF(E95&gt;0,"INCOME",IF(D95&gt;0,"EXPENSE","NEUTRAL")))</f>
        <v/>
      </c>
      <c r="I95" s="39">
        <f>IF(C95="","",=IF(OR(ISNUMBER(SEARCH("STIPEND",C95)),ISNUMBER(SEARCH("SIGMASOFT",C95)),ISNUMBER(SEARCH("SALARY",C95))),"Internship Stipend",IF(OR(ISNUMBER(SEARCH("FAMILY",C95)),ISNUMBER(SEARCH("PAPA",C95)),ISNUMBER(SEARCH("MOM",C95)),ISNUMBER(SEARCH("FATHER",C95))),"Family Support",IF(OR(ISNUMBER(SEARCH("PG",C95)),ISNUMBER(SEARCH("RENT",C95)),ISNUMBER(SEARCH("STANZA",C95)),ISNUMBER(SEARCH("ZOLO",C95))),"PG Rent &amp; Covered Meals",IF(OR(ISNUMBER(SEARCH("GROWW",C95)),ISNUMBER(SEARCH("ZERODHA",C95)),ISNUMBER(SEARCH("MUTUAL",C95)),ISNUMBER(SEARCH("SIP",C95)),ISNUMBER(SEARCH("NIPPON",C95))),"Monthly SIP Investment",IF(OR(ISNUMBER(SEARCH("BMTC",C95)),ISNUMBER(SEARCH("BUS",C95)),ISNUMBER(SEARCH("METRO",C95)),ISNUMBER(SEARCH("CHALO",C95))),"BMTC Bus Commute",IF(OR(ISNUMBER(SEARCH("SWIGGY",C95)),ISNUMBER(SEARCH("ZOMATO",C95)),ISNUMBER(SEARCH("CANTEEN",C95)),ISNUMBER(SEARCH("LUNCH",C95)),ISNUMBER(SEARCH("FOOD",C95)),ISNUMBER(SEARCH("SUBWAY",C95))),"Daily Office Lunch (Mon–Sat)",IF(OR(ISNUMBER(SEARCH("BLINKIT",C95)),ISNUMBER(SEARCH("ZEPTO",C95)),ISNUMBER(SEARCH("RECHARGE",C95)),ISNUMBER(SEARCH("JIO",C95)),ISNUMBER(SEARCH("AIRTEL",C95)),ISNUMBER(SEARCH("PHARMACY",C95)),ISNUMBER(SEARCH("APOLLO",C95)),ISNUMBER(SEARCH("ESSENTIALS",C95)),ISNUMBER(SEARCH("LIFESTYLE",C95))),"Lifestyle &amp; Personal Essentials",IF(OR(ISNUMBER(SEARCH("EMERGENCY",C95)),ISNUMBER(SEARCH("SWEEP",C95)),ISNUMBER(SEARCH("RESERVE",C95))),"Emergency Fund Allocation","Unallocated Flex Buffer")))))))))</f>
        <v/>
      </c>
      <c r="J95" s="39" t="inlineStr"/>
      <c r="K95" s="23">
        <f>IF(C95="","",IF(J95&lt;&gt;"",J95,I95))</f>
        <v/>
      </c>
      <c r="L95" s="40">
        <f>IF(A95="","",IF(ISNUMBER(A95),TEXT(A95,"mmm-yyyy"),"Oct-2026"))</f>
        <v/>
      </c>
      <c r="M95" s="40">
        <f>IF(D95&gt;=5000,"🚨 High Value Debit (₹"&amp;TEXT(D95,"#,##0")&amp;")",IF(D95&gt;=1000,"⚡ Notable Expense","—"))</f>
        <v/>
      </c>
    </row>
    <row r="96">
      <c r="A96" s="39" t="inlineStr"/>
      <c r="B96" s="39" t="inlineStr"/>
      <c r="C96" s="39" t="inlineStr"/>
      <c r="D96" s="41" t="inlineStr"/>
      <c r="E96" s="41" t="inlineStr"/>
      <c r="F96" s="41" t="inlineStr"/>
      <c r="G96" s="39" t="inlineStr"/>
      <c r="H96" s="26">
        <f>IF(C96="","",IF(E96&gt;0,"INCOME",IF(D96&gt;0,"EXPENSE","NEUTRAL")))</f>
        <v/>
      </c>
      <c r="I96" s="39">
        <f>IF(C96="","",=IF(OR(ISNUMBER(SEARCH("STIPEND",C96)),ISNUMBER(SEARCH("SIGMASOFT",C96)),ISNUMBER(SEARCH("SALARY",C96))),"Internship Stipend",IF(OR(ISNUMBER(SEARCH("FAMILY",C96)),ISNUMBER(SEARCH("PAPA",C96)),ISNUMBER(SEARCH("MOM",C96)),ISNUMBER(SEARCH("FATHER",C96))),"Family Support",IF(OR(ISNUMBER(SEARCH("PG",C96)),ISNUMBER(SEARCH("RENT",C96)),ISNUMBER(SEARCH("STANZA",C96)),ISNUMBER(SEARCH("ZOLO",C96))),"PG Rent &amp; Covered Meals",IF(OR(ISNUMBER(SEARCH("GROWW",C96)),ISNUMBER(SEARCH("ZERODHA",C96)),ISNUMBER(SEARCH("MUTUAL",C96)),ISNUMBER(SEARCH("SIP",C96)),ISNUMBER(SEARCH("NIPPON",C96))),"Monthly SIP Investment",IF(OR(ISNUMBER(SEARCH("BMTC",C96)),ISNUMBER(SEARCH("BUS",C96)),ISNUMBER(SEARCH("METRO",C96)),ISNUMBER(SEARCH("CHALO",C96))),"BMTC Bus Commute",IF(OR(ISNUMBER(SEARCH("SWIGGY",C96)),ISNUMBER(SEARCH("ZOMATO",C96)),ISNUMBER(SEARCH("CANTEEN",C96)),ISNUMBER(SEARCH("LUNCH",C96)),ISNUMBER(SEARCH("FOOD",C96)),ISNUMBER(SEARCH("SUBWAY",C96))),"Daily Office Lunch (Mon–Sat)",IF(OR(ISNUMBER(SEARCH("BLINKIT",C96)),ISNUMBER(SEARCH("ZEPTO",C96)),ISNUMBER(SEARCH("RECHARGE",C96)),ISNUMBER(SEARCH("JIO",C96)),ISNUMBER(SEARCH("AIRTEL",C96)),ISNUMBER(SEARCH("PHARMACY",C96)),ISNUMBER(SEARCH("APOLLO",C96)),ISNUMBER(SEARCH("ESSENTIALS",C96)),ISNUMBER(SEARCH("LIFESTYLE",C96))),"Lifestyle &amp; Personal Essentials",IF(OR(ISNUMBER(SEARCH("EMERGENCY",C96)),ISNUMBER(SEARCH("SWEEP",C96)),ISNUMBER(SEARCH("RESERVE",C96))),"Emergency Fund Allocation","Unallocated Flex Buffer")))))))))</f>
        <v/>
      </c>
      <c r="J96" s="39" t="inlineStr"/>
      <c r="K96" s="23">
        <f>IF(C96="","",IF(J96&lt;&gt;"",J96,I96))</f>
        <v/>
      </c>
      <c r="L96" s="40">
        <f>IF(A96="","",IF(ISNUMBER(A96),TEXT(A96,"mmm-yyyy"),"Oct-2026"))</f>
        <v/>
      </c>
      <c r="M96" s="40">
        <f>IF(D96&gt;=5000,"🚨 High Value Debit (₹"&amp;TEXT(D96,"#,##0")&amp;")",IF(D96&gt;=1000,"⚡ Notable Expense","—"))</f>
        <v/>
      </c>
    </row>
    <row r="97">
      <c r="A97" s="39" t="inlineStr"/>
      <c r="B97" s="39" t="inlineStr"/>
      <c r="C97" s="39" t="inlineStr"/>
      <c r="D97" s="41" t="inlineStr"/>
      <c r="E97" s="41" t="inlineStr"/>
      <c r="F97" s="41" t="inlineStr"/>
      <c r="G97" s="39" t="inlineStr"/>
      <c r="H97" s="26">
        <f>IF(C97="","",IF(E97&gt;0,"INCOME",IF(D97&gt;0,"EXPENSE","NEUTRAL")))</f>
        <v/>
      </c>
      <c r="I97" s="39">
        <f>IF(C97="","",=IF(OR(ISNUMBER(SEARCH("STIPEND",C97)),ISNUMBER(SEARCH("SIGMASOFT",C97)),ISNUMBER(SEARCH("SALARY",C97))),"Internship Stipend",IF(OR(ISNUMBER(SEARCH("FAMILY",C97)),ISNUMBER(SEARCH("PAPA",C97)),ISNUMBER(SEARCH("MOM",C97)),ISNUMBER(SEARCH("FATHER",C97))),"Family Support",IF(OR(ISNUMBER(SEARCH("PG",C97)),ISNUMBER(SEARCH("RENT",C97)),ISNUMBER(SEARCH("STANZA",C97)),ISNUMBER(SEARCH("ZOLO",C97))),"PG Rent &amp; Covered Meals",IF(OR(ISNUMBER(SEARCH("GROWW",C97)),ISNUMBER(SEARCH("ZERODHA",C97)),ISNUMBER(SEARCH("MUTUAL",C97)),ISNUMBER(SEARCH("SIP",C97)),ISNUMBER(SEARCH("NIPPON",C97))),"Monthly SIP Investment",IF(OR(ISNUMBER(SEARCH("BMTC",C97)),ISNUMBER(SEARCH("BUS",C97)),ISNUMBER(SEARCH("METRO",C97)),ISNUMBER(SEARCH("CHALO",C97))),"BMTC Bus Commute",IF(OR(ISNUMBER(SEARCH("SWIGGY",C97)),ISNUMBER(SEARCH("ZOMATO",C97)),ISNUMBER(SEARCH("CANTEEN",C97)),ISNUMBER(SEARCH("LUNCH",C97)),ISNUMBER(SEARCH("FOOD",C97)),ISNUMBER(SEARCH("SUBWAY",C97))),"Daily Office Lunch (Mon–Sat)",IF(OR(ISNUMBER(SEARCH("BLINKIT",C97)),ISNUMBER(SEARCH("ZEPTO",C97)),ISNUMBER(SEARCH("RECHARGE",C97)),ISNUMBER(SEARCH("JIO",C97)),ISNUMBER(SEARCH("AIRTEL",C97)),ISNUMBER(SEARCH("PHARMACY",C97)),ISNUMBER(SEARCH("APOLLO",C97)),ISNUMBER(SEARCH("ESSENTIALS",C97)),ISNUMBER(SEARCH("LIFESTYLE",C97))),"Lifestyle &amp; Personal Essentials",IF(OR(ISNUMBER(SEARCH("EMERGENCY",C97)),ISNUMBER(SEARCH("SWEEP",C97)),ISNUMBER(SEARCH("RESERVE",C97))),"Emergency Fund Allocation","Unallocated Flex Buffer")))))))))</f>
        <v/>
      </c>
      <c r="J97" s="39" t="inlineStr"/>
      <c r="K97" s="23">
        <f>IF(C97="","",IF(J97&lt;&gt;"",J97,I97))</f>
        <v/>
      </c>
      <c r="L97" s="40">
        <f>IF(A97="","",IF(ISNUMBER(A97),TEXT(A97,"mmm-yyyy"),"Oct-2026"))</f>
        <v/>
      </c>
      <c r="M97" s="40">
        <f>IF(D97&gt;=5000,"🚨 High Value Debit (₹"&amp;TEXT(D97,"#,##0")&amp;")",IF(D97&gt;=1000,"⚡ Notable Expense","—"))</f>
        <v/>
      </c>
    </row>
    <row r="98">
      <c r="A98" s="39" t="inlineStr"/>
      <c r="B98" s="39" t="inlineStr"/>
      <c r="C98" s="39" t="inlineStr"/>
      <c r="D98" s="41" t="inlineStr"/>
      <c r="E98" s="41" t="inlineStr"/>
      <c r="F98" s="41" t="inlineStr"/>
      <c r="G98" s="39" t="inlineStr"/>
      <c r="H98" s="26">
        <f>IF(C98="","",IF(E98&gt;0,"INCOME",IF(D98&gt;0,"EXPENSE","NEUTRAL")))</f>
        <v/>
      </c>
      <c r="I98" s="39">
        <f>IF(C98="","",=IF(OR(ISNUMBER(SEARCH("STIPEND",C98)),ISNUMBER(SEARCH("SIGMASOFT",C98)),ISNUMBER(SEARCH("SALARY",C98))),"Internship Stipend",IF(OR(ISNUMBER(SEARCH("FAMILY",C98)),ISNUMBER(SEARCH("PAPA",C98)),ISNUMBER(SEARCH("MOM",C98)),ISNUMBER(SEARCH("FATHER",C98))),"Family Support",IF(OR(ISNUMBER(SEARCH("PG",C98)),ISNUMBER(SEARCH("RENT",C98)),ISNUMBER(SEARCH("STANZA",C98)),ISNUMBER(SEARCH("ZOLO",C98))),"PG Rent &amp; Covered Meals",IF(OR(ISNUMBER(SEARCH("GROWW",C98)),ISNUMBER(SEARCH("ZERODHA",C98)),ISNUMBER(SEARCH("MUTUAL",C98)),ISNUMBER(SEARCH("SIP",C98)),ISNUMBER(SEARCH("NIPPON",C98))),"Monthly SIP Investment",IF(OR(ISNUMBER(SEARCH("BMTC",C98)),ISNUMBER(SEARCH("BUS",C98)),ISNUMBER(SEARCH("METRO",C98)),ISNUMBER(SEARCH("CHALO",C98))),"BMTC Bus Commute",IF(OR(ISNUMBER(SEARCH("SWIGGY",C98)),ISNUMBER(SEARCH("ZOMATO",C98)),ISNUMBER(SEARCH("CANTEEN",C98)),ISNUMBER(SEARCH("LUNCH",C98)),ISNUMBER(SEARCH("FOOD",C98)),ISNUMBER(SEARCH("SUBWAY",C98))),"Daily Office Lunch (Mon–Sat)",IF(OR(ISNUMBER(SEARCH("BLINKIT",C98)),ISNUMBER(SEARCH("ZEPTO",C98)),ISNUMBER(SEARCH("RECHARGE",C98)),ISNUMBER(SEARCH("JIO",C98)),ISNUMBER(SEARCH("AIRTEL",C98)),ISNUMBER(SEARCH("PHARMACY",C98)),ISNUMBER(SEARCH("APOLLO",C98)),ISNUMBER(SEARCH("ESSENTIALS",C98)),ISNUMBER(SEARCH("LIFESTYLE",C98))),"Lifestyle &amp; Personal Essentials",IF(OR(ISNUMBER(SEARCH("EMERGENCY",C98)),ISNUMBER(SEARCH("SWEEP",C98)),ISNUMBER(SEARCH("RESERVE",C98))),"Emergency Fund Allocation","Unallocated Flex Buffer")))))))))</f>
        <v/>
      </c>
      <c r="J98" s="39" t="inlineStr"/>
      <c r="K98" s="23">
        <f>IF(C98="","",IF(J98&lt;&gt;"",J98,I98))</f>
        <v/>
      </c>
      <c r="L98" s="40">
        <f>IF(A98="","",IF(ISNUMBER(A98),TEXT(A98,"mmm-yyyy"),"Oct-2026"))</f>
        <v/>
      </c>
      <c r="M98" s="40">
        <f>IF(D98&gt;=5000,"🚨 High Value Debit (₹"&amp;TEXT(D98,"#,##0")&amp;")",IF(D98&gt;=1000,"⚡ Notable Expense","—"))</f>
        <v/>
      </c>
    </row>
    <row r="99">
      <c r="A99" s="39" t="inlineStr"/>
      <c r="B99" s="39" t="inlineStr"/>
      <c r="C99" s="39" t="inlineStr"/>
      <c r="D99" s="41" t="inlineStr"/>
      <c r="E99" s="41" t="inlineStr"/>
      <c r="F99" s="41" t="inlineStr"/>
      <c r="G99" s="39" t="inlineStr"/>
      <c r="H99" s="26">
        <f>IF(C99="","",IF(E99&gt;0,"INCOME",IF(D99&gt;0,"EXPENSE","NEUTRAL")))</f>
        <v/>
      </c>
      <c r="I99" s="39">
        <f>IF(C99="","",=IF(OR(ISNUMBER(SEARCH("STIPEND",C99)),ISNUMBER(SEARCH("SIGMASOFT",C99)),ISNUMBER(SEARCH("SALARY",C99))),"Internship Stipend",IF(OR(ISNUMBER(SEARCH("FAMILY",C99)),ISNUMBER(SEARCH("PAPA",C99)),ISNUMBER(SEARCH("MOM",C99)),ISNUMBER(SEARCH("FATHER",C99))),"Family Support",IF(OR(ISNUMBER(SEARCH("PG",C99)),ISNUMBER(SEARCH("RENT",C99)),ISNUMBER(SEARCH("STANZA",C99)),ISNUMBER(SEARCH("ZOLO",C99))),"PG Rent &amp; Covered Meals",IF(OR(ISNUMBER(SEARCH("GROWW",C99)),ISNUMBER(SEARCH("ZERODHA",C99)),ISNUMBER(SEARCH("MUTUAL",C99)),ISNUMBER(SEARCH("SIP",C99)),ISNUMBER(SEARCH("NIPPON",C99))),"Monthly SIP Investment",IF(OR(ISNUMBER(SEARCH("BMTC",C99)),ISNUMBER(SEARCH("BUS",C99)),ISNUMBER(SEARCH("METRO",C99)),ISNUMBER(SEARCH("CHALO",C99))),"BMTC Bus Commute",IF(OR(ISNUMBER(SEARCH("SWIGGY",C99)),ISNUMBER(SEARCH("ZOMATO",C99)),ISNUMBER(SEARCH("CANTEEN",C99)),ISNUMBER(SEARCH("LUNCH",C99)),ISNUMBER(SEARCH("FOOD",C99)),ISNUMBER(SEARCH("SUBWAY",C99))),"Daily Office Lunch (Mon–Sat)",IF(OR(ISNUMBER(SEARCH("BLINKIT",C99)),ISNUMBER(SEARCH("ZEPTO",C99)),ISNUMBER(SEARCH("RECHARGE",C99)),ISNUMBER(SEARCH("JIO",C99)),ISNUMBER(SEARCH("AIRTEL",C99)),ISNUMBER(SEARCH("PHARMACY",C99)),ISNUMBER(SEARCH("APOLLO",C99)),ISNUMBER(SEARCH("ESSENTIALS",C99)),ISNUMBER(SEARCH("LIFESTYLE",C99))),"Lifestyle &amp; Personal Essentials",IF(OR(ISNUMBER(SEARCH("EMERGENCY",C99)),ISNUMBER(SEARCH("SWEEP",C99)),ISNUMBER(SEARCH("RESERVE",C99))),"Emergency Fund Allocation","Unallocated Flex Buffer")))))))))</f>
        <v/>
      </c>
      <c r="J99" s="39" t="inlineStr"/>
      <c r="K99" s="23">
        <f>IF(C99="","",IF(J99&lt;&gt;"",J99,I99))</f>
        <v/>
      </c>
      <c r="L99" s="40">
        <f>IF(A99="","",IF(ISNUMBER(A99),TEXT(A99,"mmm-yyyy"),"Oct-2026"))</f>
        <v/>
      </c>
      <c r="M99" s="40">
        <f>IF(D99&gt;=5000,"🚨 High Value Debit (₹"&amp;TEXT(D99,"#,##0")&amp;")",IF(D99&gt;=1000,"⚡ Notable Expense","—"))</f>
        <v/>
      </c>
    </row>
    <row r="100">
      <c r="A100" s="39" t="inlineStr"/>
      <c r="B100" s="39" t="inlineStr"/>
      <c r="C100" s="39" t="inlineStr"/>
      <c r="D100" s="41" t="inlineStr"/>
      <c r="E100" s="41" t="inlineStr"/>
      <c r="F100" s="41" t="inlineStr"/>
      <c r="G100" s="39" t="inlineStr"/>
      <c r="H100" s="26">
        <f>IF(C100="","",IF(E100&gt;0,"INCOME",IF(D100&gt;0,"EXPENSE","NEUTRAL")))</f>
        <v/>
      </c>
      <c r="I100" s="39">
        <f>IF(C100="","",=IF(OR(ISNUMBER(SEARCH("STIPEND",C100)),ISNUMBER(SEARCH("SIGMASOFT",C100)),ISNUMBER(SEARCH("SALARY",C100))),"Internship Stipend",IF(OR(ISNUMBER(SEARCH("FAMILY",C100)),ISNUMBER(SEARCH("PAPA",C100)),ISNUMBER(SEARCH("MOM",C100)),ISNUMBER(SEARCH("FATHER",C100))),"Family Support",IF(OR(ISNUMBER(SEARCH("PG",C100)),ISNUMBER(SEARCH("RENT",C100)),ISNUMBER(SEARCH("STANZA",C100)),ISNUMBER(SEARCH("ZOLO",C100))),"PG Rent &amp; Covered Meals",IF(OR(ISNUMBER(SEARCH("GROWW",C100)),ISNUMBER(SEARCH("ZERODHA",C100)),ISNUMBER(SEARCH("MUTUAL",C100)),ISNUMBER(SEARCH("SIP",C100)),ISNUMBER(SEARCH("NIPPON",C100))),"Monthly SIP Investment",IF(OR(ISNUMBER(SEARCH("BMTC",C100)),ISNUMBER(SEARCH("BUS",C100)),ISNUMBER(SEARCH("METRO",C100)),ISNUMBER(SEARCH("CHALO",C100))),"BMTC Bus Commute",IF(OR(ISNUMBER(SEARCH("SWIGGY",C100)),ISNUMBER(SEARCH("ZOMATO",C100)),ISNUMBER(SEARCH("CANTEEN",C100)),ISNUMBER(SEARCH("LUNCH",C100)),ISNUMBER(SEARCH("FOOD",C100)),ISNUMBER(SEARCH("SUBWAY",C100))),"Daily Office Lunch (Mon–Sat)",IF(OR(ISNUMBER(SEARCH("BLINKIT",C100)),ISNUMBER(SEARCH("ZEPTO",C100)),ISNUMBER(SEARCH("RECHARGE",C100)),ISNUMBER(SEARCH("JIO",C100)),ISNUMBER(SEARCH("AIRTEL",C100)),ISNUMBER(SEARCH("PHARMACY",C100)),ISNUMBER(SEARCH("APOLLO",C100)),ISNUMBER(SEARCH("ESSENTIALS",C100)),ISNUMBER(SEARCH("LIFESTYLE",C100))),"Lifestyle &amp; Personal Essentials",IF(OR(ISNUMBER(SEARCH("EMERGENCY",C100)),ISNUMBER(SEARCH("SWEEP",C100)),ISNUMBER(SEARCH("RESERVE",C100))),"Emergency Fund Allocation","Unallocated Flex Buffer")))))))))</f>
        <v/>
      </c>
      <c r="J100" s="39" t="inlineStr"/>
      <c r="K100" s="23">
        <f>IF(C100="","",IF(J100&lt;&gt;"",J100,I100))</f>
        <v/>
      </c>
      <c r="L100" s="40">
        <f>IF(A100="","",IF(ISNUMBER(A100),TEXT(A100,"mmm-yyyy"),"Oct-2026"))</f>
        <v/>
      </c>
      <c r="M100" s="40">
        <f>IF(D100&gt;=5000,"🚨 High Value Debit (₹"&amp;TEXT(D100,"#,##0")&amp;")",IF(D100&gt;=1000,"⚡ Notable Expense","—"))</f>
        <v/>
      </c>
    </row>
    <row r="101">
      <c r="A101" s="39" t="inlineStr"/>
      <c r="B101" s="39" t="inlineStr"/>
      <c r="C101" s="39" t="inlineStr"/>
      <c r="D101" s="41" t="inlineStr"/>
      <c r="E101" s="41" t="inlineStr"/>
      <c r="F101" s="41" t="inlineStr"/>
      <c r="G101" s="39" t="inlineStr"/>
      <c r="H101" s="26">
        <f>IF(C101="","",IF(E101&gt;0,"INCOME",IF(D101&gt;0,"EXPENSE","NEUTRAL")))</f>
        <v/>
      </c>
      <c r="I101" s="39">
        <f>IF(C101="","",=IF(OR(ISNUMBER(SEARCH("STIPEND",C101)),ISNUMBER(SEARCH("SIGMASOFT",C101)),ISNUMBER(SEARCH("SALARY",C101))),"Internship Stipend",IF(OR(ISNUMBER(SEARCH("FAMILY",C101)),ISNUMBER(SEARCH("PAPA",C101)),ISNUMBER(SEARCH("MOM",C101)),ISNUMBER(SEARCH("FATHER",C101))),"Family Support",IF(OR(ISNUMBER(SEARCH("PG",C101)),ISNUMBER(SEARCH("RENT",C101)),ISNUMBER(SEARCH("STANZA",C101)),ISNUMBER(SEARCH("ZOLO",C101))),"PG Rent &amp; Covered Meals",IF(OR(ISNUMBER(SEARCH("GROWW",C101)),ISNUMBER(SEARCH("ZERODHA",C101)),ISNUMBER(SEARCH("MUTUAL",C101)),ISNUMBER(SEARCH("SIP",C101)),ISNUMBER(SEARCH("NIPPON",C101))),"Monthly SIP Investment",IF(OR(ISNUMBER(SEARCH("BMTC",C101)),ISNUMBER(SEARCH("BUS",C101)),ISNUMBER(SEARCH("METRO",C101)),ISNUMBER(SEARCH("CHALO",C101))),"BMTC Bus Commute",IF(OR(ISNUMBER(SEARCH("SWIGGY",C101)),ISNUMBER(SEARCH("ZOMATO",C101)),ISNUMBER(SEARCH("CANTEEN",C101)),ISNUMBER(SEARCH("LUNCH",C101)),ISNUMBER(SEARCH("FOOD",C101)),ISNUMBER(SEARCH("SUBWAY",C101))),"Daily Office Lunch (Mon–Sat)",IF(OR(ISNUMBER(SEARCH("BLINKIT",C101)),ISNUMBER(SEARCH("ZEPTO",C101)),ISNUMBER(SEARCH("RECHARGE",C101)),ISNUMBER(SEARCH("JIO",C101)),ISNUMBER(SEARCH("AIRTEL",C101)),ISNUMBER(SEARCH("PHARMACY",C101)),ISNUMBER(SEARCH("APOLLO",C101)),ISNUMBER(SEARCH("ESSENTIALS",C101)),ISNUMBER(SEARCH("LIFESTYLE",C101))),"Lifestyle &amp; Personal Essentials",IF(OR(ISNUMBER(SEARCH("EMERGENCY",C101)),ISNUMBER(SEARCH("SWEEP",C101)),ISNUMBER(SEARCH("RESERVE",C101))),"Emergency Fund Allocation","Unallocated Flex Buffer")))))))))</f>
        <v/>
      </c>
      <c r="J101" s="39" t="inlineStr"/>
      <c r="K101" s="23">
        <f>IF(C101="","",IF(J101&lt;&gt;"",J101,I101))</f>
        <v/>
      </c>
      <c r="L101" s="40">
        <f>IF(A101="","",IF(ISNUMBER(A101),TEXT(A101,"mmm-yyyy"),"Oct-2026"))</f>
        <v/>
      </c>
      <c r="M101" s="40">
        <f>IF(D101&gt;=5000,"🚨 High Value Debit (₹"&amp;TEXT(D101,"#,##0")&amp;")",IF(D101&gt;=1000,"⚡ Notable Expense","—"))</f>
        <v/>
      </c>
    </row>
    <row r="102">
      <c r="A102" s="39" t="inlineStr"/>
      <c r="B102" s="39" t="inlineStr"/>
      <c r="C102" s="39" t="inlineStr"/>
      <c r="D102" s="41" t="inlineStr"/>
      <c r="E102" s="41" t="inlineStr"/>
      <c r="F102" s="41" t="inlineStr"/>
      <c r="G102" s="39" t="inlineStr"/>
      <c r="H102" s="26">
        <f>IF(C102="","",IF(E102&gt;0,"INCOME",IF(D102&gt;0,"EXPENSE","NEUTRAL")))</f>
        <v/>
      </c>
      <c r="I102" s="39">
        <f>IF(C102="","",=IF(OR(ISNUMBER(SEARCH("STIPEND",C102)),ISNUMBER(SEARCH("SIGMASOFT",C102)),ISNUMBER(SEARCH("SALARY",C102))),"Internship Stipend",IF(OR(ISNUMBER(SEARCH("FAMILY",C102)),ISNUMBER(SEARCH("PAPA",C102)),ISNUMBER(SEARCH("MOM",C102)),ISNUMBER(SEARCH("FATHER",C102))),"Family Support",IF(OR(ISNUMBER(SEARCH("PG",C102)),ISNUMBER(SEARCH("RENT",C102)),ISNUMBER(SEARCH("STANZA",C102)),ISNUMBER(SEARCH("ZOLO",C102))),"PG Rent &amp; Covered Meals",IF(OR(ISNUMBER(SEARCH("GROWW",C102)),ISNUMBER(SEARCH("ZERODHA",C102)),ISNUMBER(SEARCH("MUTUAL",C102)),ISNUMBER(SEARCH("SIP",C102)),ISNUMBER(SEARCH("NIPPON",C102))),"Monthly SIP Investment",IF(OR(ISNUMBER(SEARCH("BMTC",C102)),ISNUMBER(SEARCH("BUS",C102)),ISNUMBER(SEARCH("METRO",C102)),ISNUMBER(SEARCH("CHALO",C102))),"BMTC Bus Commute",IF(OR(ISNUMBER(SEARCH("SWIGGY",C102)),ISNUMBER(SEARCH("ZOMATO",C102)),ISNUMBER(SEARCH("CANTEEN",C102)),ISNUMBER(SEARCH("LUNCH",C102)),ISNUMBER(SEARCH("FOOD",C102)),ISNUMBER(SEARCH("SUBWAY",C102))),"Daily Office Lunch (Mon–Sat)",IF(OR(ISNUMBER(SEARCH("BLINKIT",C102)),ISNUMBER(SEARCH("ZEPTO",C102)),ISNUMBER(SEARCH("RECHARGE",C102)),ISNUMBER(SEARCH("JIO",C102)),ISNUMBER(SEARCH("AIRTEL",C102)),ISNUMBER(SEARCH("PHARMACY",C102)),ISNUMBER(SEARCH("APOLLO",C102)),ISNUMBER(SEARCH("ESSENTIALS",C102)),ISNUMBER(SEARCH("LIFESTYLE",C102))),"Lifestyle &amp; Personal Essentials",IF(OR(ISNUMBER(SEARCH("EMERGENCY",C102)),ISNUMBER(SEARCH("SWEEP",C102)),ISNUMBER(SEARCH("RESERVE",C102))),"Emergency Fund Allocation","Unallocated Flex Buffer")))))))))</f>
        <v/>
      </c>
      <c r="J102" s="39" t="inlineStr"/>
      <c r="K102" s="23">
        <f>IF(C102="","",IF(J102&lt;&gt;"",J102,I102))</f>
        <v/>
      </c>
      <c r="L102" s="40">
        <f>IF(A102="","",IF(ISNUMBER(A102),TEXT(A102,"mmm-yyyy"),"Oct-2026"))</f>
        <v/>
      </c>
      <c r="M102" s="40">
        <f>IF(D102&gt;=5000,"🚨 High Value Debit (₹"&amp;TEXT(D102,"#,##0")&amp;")",IF(D102&gt;=1000,"⚡ Notable Expense","—"))</f>
        <v/>
      </c>
    </row>
    <row r="103">
      <c r="A103" s="39" t="inlineStr"/>
      <c r="B103" s="39" t="inlineStr"/>
      <c r="C103" s="39" t="inlineStr"/>
      <c r="D103" s="41" t="inlineStr"/>
      <c r="E103" s="41" t="inlineStr"/>
      <c r="F103" s="41" t="inlineStr"/>
      <c r="G103" s="39" t="inlineStr"/>
      <c r="H103" s="26">
        <f>IF(C103="","",IF(E103&gt;0,"INCOME",IF(D103&gt;0,"EXPENSE","NEUTRAL")))</f>
        <v/>
      </c>
      <c r="I103" s="39">
        <f>IF(C103="","",=IF(OR(ISNUMBER(SEARCH("STIPEND",C103)),ISNUMBER(SEARCH("SIGMASOFT",C103)),ISNUMBER(SEARCH("SALARY",C103))),"Internship Stipend",IF(OR(ISNUMBER(SEARCH("FAMILY",C103)),ISNUMBER(SEARCH("PAPA",C103)),ISNUMBER(SEARCH("MOM",C103)),ISNUMBER(SEARCH("FATHER",C103))),"Family Support",IF(OR(ISNUMBER(SEARCH("PG",C103)),ISNUMBER(SEARCH("RENT",C103)),ISNUMBER(SEARCH("STANZA",C103)),ISNUMBER(SEARCH("ZOLO",C103))),"PG Rent &amp; Covered Meals",IF(OR(ISNUMBER(SEARCH("GROWW",C103)),ISNUMBER(SEARCH("ZERODHA",C103)),ISNUMBER(SEARCH("MUTUAL",C103)),ISNUMBER(SEARCH("SIP",C103)),ISNUMBER(SEARCH("NIPPON",C103))),"Monthly SIP Investment",IF(OR(ISNUMBER(SEARCH("BMTC",C103)),ISNUMBER(SEARCH("BUS",C103)),ISNUMBER(SEARCH("METRO",C103)),ISNUMBER(SEARCH("CHALO",C103))),"BMTC Bus Commute",IF(OR(ISNUMBER(SEARCH("SWIGGY",C103)),ISNUMBER(SEARCH("ZOMATO",C103)),ISNUMBER(SEARCH("CANTEEN",C103)),ISNUMBER(SEARCH("LUNCH",C103)),ISNUMBER(SEARCH("FOOD",C103)),ISNUMBER(SEARCH("SUBWAY",C103))),"Daily Office Lunch (Mon–Sat)",IF(OR(ISNUMBER(SEARCH("BLINKIT",C103)),ISNUMBER(SEARCH("ZEPTO",C103)),ISNUMBER(SEARCH("RECHARGE",C103)),ISNUMBER(SEARCH("JIO",C103)),ISNUMBER(SEARCH("AIRTEL",C103)),ISNUMBER(SEARCH("PHARMACY",C103)),ISNUMBER(SEARCH("APOLLO",C103)),ISNUMBER(SEARCH("ESSENTIALS",C103)),ISNUMBER(SEARCH("LIFESTYLE",C103))),"Lifestyle &amp; Personal Essentials",IF(OR(ISNUMBER(SEARCH("EMERGENCY",C103)),ISNUMBER(SEARCH("SWEEP",C103)),ISNUMBER(SEARCH("RESERVE",C103))),"Emergency Fund Allocation","Unallocated Flex Buffer")))))))))</f>
        <v/>
      </c>
      <c r="J103" s="39" t="inlineStr"/>
      <c r="K103" s="23">
        <f>IF(C103="","",IF(J103&lt;&gt;"",J103,I103))</f>
        <v/>
      </c>
      <c r="L103" s="40">
        <f>IF(A103="","",IF(ISNUMBER(A103),TEXT(A103,"mmm-yyyy"),"Oct-2026"))</f>
        <v/>
      </c>
      <c r="M103" s="40">
        <f>IF(D103&gt;=5000,"🚨 High Value Debit (₹"&amp;TEXT(D103,"#,##0")&amp;")",IF(D103&gt;=1000,"⚡ Notable Expense","—"))</f>
        <v/>
      </c>
    </row>
    <row r="104">
      <c r="A104" s="39" t="inlineStr"/>
      <c r="B104" s="39" t="inlineStr"/>
      <c r="C104" s="39" t="inlineStr"/>
      <c r="D104" s="41" t="inlineStr"/>
      <c r="E104" s="41" t="inlineStr"/>
      <c r="F104" s="41" t="inlineStr"/>
      <c r="G104" s="39" t="inlineStr"/>
      <c r="H104" s="26">
        <f>IF(C104="","",IF(E104&gt;0,"INCOME",IF(D104&gt;0,"EXPENSE","NEUTRAL")))</f>
        <v/>
      </c>
      <c r="I104" s="39">
        <f>IF(C104="","",=IF(OR(ISNUMBER(SEARCH("STIPEND",C104)),ISNUMBER(SEARCH("SIGMASOFT",C104)),ISNUMBER(SEARCH("SALARY",C104))),"Internship Stipend",IF(OR(ISNUMBER(SEARCH("FAMILY",C104)),ISNUMBER(SEARCH("PAPA",C104)),ISNUMBER(SEARCH("MOM",C104)),ISNUMBER(SEARCH("FATHER",C104))),"Family Support",IF(OR(ISNUMBER(SEARCH("PG",C104)),ISNUMBER(SEARCH("RENT",C104)),ISNUMBER(SEARCH("STANZA",C104)),ISNUMBER(SEARCH("ZOLO",C104))),"PG Rent &amp; Covered Meals",IF(OR(ISNUMBER(SEARCH("GROWW",C104)),ISNUMBER(SEARCH("ZERODHA",C104)),ISNUMBER(SEARCH("MUTUAL",C104)),ISNUMBER(SEARCH("SIP",C104)),ISNUMBER(SEARCH("NIPPON",C104))),"Monthly SIP Investment",IF(OR(ISNUMBER(SEARCH("BMTC",C104)),ISNUMBER(SEARCH("BUS",C104)),ISNUMBER(SEARCH("METRO",C104)),ISNUMBER(SEARCH("CHALO",C104))),"BMTC Bus Commute",IF(OR(ISNUMBER(SEARCH("SWIGGY",C104)),ISNUMBER(SEARCH("ZOMATO",C104)),ISNUMBER(SEARCH("CANTEEN",C104)),ISNUMBER(SEARCH("LUNCH",C104)),ISNUMBER(SEARCH("FOOD",C104)),ISNUMBER(SEARCH("SUBWAY",C104))),"Daily Office Lunch (Mon–Sat)",IF(OR(ISNUMBER(SEARCH("BLINKIT",C104)),ISNUMBER(SEARCH("ZEPTO",C104)),ISNUMBER(SEARCH("RECHARGE",C104)),ISNUMBER(SEARCH("JIO",C104)),ISNUMBER(SEARCH("AIRTEL",C104)),ISNUMBER(SEARCH("PHARMACY",C104)),ISNUMBER(SEARCH("APOLLO",C104)),ISNUMBER(SEARCH("ESSENTIALS",C104)),ISNUMBER(SEARCH("LIFESTYLE",C104))),"Lifestyle &amp; Personal Essentials",IF(OR(ISNUMBER(SEARCH("EMERGENCY",C104)),ISNUMBER(SEARCH("SWEEP",C104)),ISNUMBER(SEARCH("RESERVE",C104))),"Emergency Fund Allocation","Unallocated Flex Buffer")))))))))</f>
        <v/>
      </c>
      <c r="J104" s="39" t="inlineStr"/>
      <c r="K104" s="23">
        <f>IF(C104="","",IF(J104&lt;&gt;"",J104,I104))</f>
        <v/>
      </c>
      <c r="L104" s="40">
        <f>IF(A104="","",IF(ISNUMBER(A104),TEXT(A104,"mmm-yyyy"),"Oct-2026"))</f>
        <v/>
      </c>
      <c r="M104" s="40">
        <f>IF(D104&gt;=5000,"🚨 High Value Debit (₹"&amp;TEXT(D104,"#,##0")&amp;")",IF(D104&gt;=1000,"⚡ Notable Expense","—"))</f>
        <v/>
      </c>
    </row>
    <row r="105">
      <c r="A105" s="39" t="inlineStr"/>
      <c r="B105" s="39" t="inlineStr"/>
      <c r="C105" s="39" t="inlineStr"/>
      <c r="D105" s="41" t="inlineStr"/>
      <c r="E105" s="41" t="inlineStr"/>
      <c r="F105" s="41" t="inlineStr"/>
      <c r="G105" s="39" t="inlineStr"/>
      <c r="H105" s="26">
        <f>IF(C105="","",IF(E105&gt;0,"INCOME",IF(D105&gt;0,"EXPENSE","NEUTRAL")))</f>
        <v/>
      </c>
      <c r="I105" s="39">
        <f>IF(C105="","",=IF(OR(ISNUMBER(SEARCH("STIPEND",C105)),ISNUMBER(SEARCH("SIGMASOFT",C105)),ISNUMBER(SEARCH("SALARY",C105))),"Internship Stipend",IF(OR(ISNUMBER(SEARCH("FAMILY",C105)),ISNUMBER(SEARCH("PAPA",C105)),ISNUMBER(SEARCH("MOM",C105)),ISNUMBER(SEARCH("FATHER",C105))),"Family Support",IF(OR(ISNUMBER(SEARCH("PG",C105)),ISNUMBER(SEARCH("RENT",C105)),ISNUMBER(SEARCH("STANZA",C105)),ISNUMBER(SEARCH("ZOLO",C105))),"PG Rent &amp; Covered Meals",IF(OR(ISNUMBER(SEARCH("GROWW",C105)),ISNUMBER(SEARCH("ZERODHA",C105)),ISNUMBER(SEARCH("MUTUAL",C105)),ISNUMBER(SEARCH("SIP",C105)),ISNUMBER(SEARCH("NIPPON",C105))),"Monthly SIP Investment",IF(OR(ISNUMBER(SEARCH("BMTC",C105)),ISNUMBER(SEARCH("BUS",C105)),ISNUMBER(SEARCH("METRO",C105)),ISNUMBER(SEARCH("CHALO",C105))),"BMTC Bus Commute",IF(OR(ISNUMBER(SEARCH("SWIGGY",C105)),ISNUMBER(SEARCH("ZOMATO",C105)),ISNUMBER(SEARCH("CANTEEN",C105)),ISNUMBER(SEARCH("LUNCH",C105)),ISNUMBER(SEARCH("FOOD",C105)),ISNUMBER(SEARCH("SUBWAY",C105))),"Daily Office Lunch (Mon–Sat)",IF(OR(ISNUMBER(SEARCH("BLINKIT",C105)),ISNUMBER(SEARCH("ZEPTO",C105)),ISNUMBER(SEARCH("RECHARGE",C105)),ISNUMBER(SEARCH("JIO",C105)),ISNUMBER(SEARCH("AIRTEL",C105)),ISNUMBER(SEARCH("PHARMACY",C105)),ISNUMBER(SEARCH("APOLLO",C105)),ISNUMBER(SEARCH("ESSENTIALS",C105)),ISNUMBER(SEARCH("LIFESTYLE",C105))),"Lifestyle &amp; Personal Essentials",IF(OR(ISNUMBER(SEARCH("EMERGENCY",C105)),ISNUMBER(SEARCH("SWEEP",C105)),ISNUMBER(SEARCH("RESERVE",C105))),"Emergency Fund Allocation","Unallocated Flex Buffer")))))))))</f>
        <v/>
      </c>
      <c r="J105" s="39" t="inlineStr"/>
      <c r="K105" s="23">
        <f>IF(C105="","",IF(J105&lt;&gt;"",J105,I105))</f>
        <v/>
      </c>
      <c r="L105" s="40">
        <f>IF(A105="","",IF(ISNUMBER(A105),TEXT(A105,"mmm-yyyy"),"Oct-2026"))</f>
        <v/>
      </c>
      <c r="M105" s="40">
        <f>IF(D105&gt;=5000,"🚨 High Value Debit (₹"&amp;TEXT(D105,"#,##0")&amp;")",IF(D105&gt;=1000,"⚡ Notable Expense","—"))</f>
        <v/>
      </c>
    </row>
    <row r="106">
      <c r="A106" s="39" t="inlineStr"/>
      <c r="B106" s="39" t="inlineStr"/>
      <c r="C106" s="39" t="inlineStr"/>
      <c r="D106" s="41" t="inlineStr"/>
      <c r="E106" s="41" t="inlineStr"/>
      <c r="F106" s="41" t="inlineStr"/>
      <c r="G106" s="39" t="inlineStr"/>
      <c r="H106" s="26">
        <f>IF(C106="","",IF(E106&gt;0,"INCOME",IF(D106&gt;0,"EXPENSE","NEUTRAL")))</f>
        <v/>
      </c>
      <c r="I106" s="39">
        <f>IF(C106="","",=IF(OR(ISNUMBER(SEARCH("STIPEND",C106)),ISNUMBER(SEARCH("SIGMASOFT",C106)),ISNUMBER(SEARCH("SALARY",C106))),"Internship Stipend",IF(OR(ISNUMBER(SEARCH("FAMILY",C106)),ISNUMBER(SEARCH("PAPA",C106)),ISNUMBER(SEARCH("MOM",C106)),ISNUMBER(SEARCH("FATHER",C106))),"Family Support",IF(OR(ISNUMBER(SEARCH("PG",C106)),ISNUMBER(SEARCH("RENT",C106)),ISNUMBER(SEARCH("STANZA",C106)),ISNUMBER(SEARCH("ZOLO",C106))),"PG Rent &amp; Covered Meals",IF(OR(ISNUMBER(SEARCH("GROWW",C106)),ISNUMBER(SEARCH("ZERODHA",C106)),ISNUMBER(SEARCH("MUTUAL",C106)),ISNUMBER(SEARCH("SIP",C106)),ISNUMBER(SEARCH("NIPPON",C106))),"Monthly SIP Investment",IF(OR(ISNUMBER(SEARCH("BMTC",C106)),ISNUMBER(SEARCH("BUS",C106)),ISNUMBER(SEARCH("METRO",C106)),ISNUMBER(SEARCH("CHALO",C106))),"BMTC Bus Commute",IF(OR(ISNUMBER(SEARCH("SWIGGY",C106)),ISNUMBER(SEARCH("ZOMATO",C106)),ISNUMBER(SEARCH("CANTEEN",C106)),ISNUMBER(SEARCH("LUNCH",C106)),ISNUMBER(SEARCH("FOOD",C106)),ISNUMBER(SEARCH("SUBWAY",C106))),"Daily Office Lunch (Mon–Sat)",IF(OR(ISNUMBER(SEARCH("BLINKIT",C106)),ISNUMBER(SEARCH("ZEPTO",C106)),ISNUMBER(SEARCH("RECHARGE",C106)),ISNUMBER(SEARCH("JIO",C106)),ISNUMBER(SEARCH("AIRTEL",C106)),ISNUMBER(SEARCH("PHARMACY",C106)),ISNUMBER(SEARCH("APOLLO",C106)),ISNUMBER(SEARCH("ESSENTIALS",C106)),ISNUMBER(SEARCH("LIFESTYLE",C106))),"Lifestyle &amp; Personal Essentials",IF(OR(ISNUMBER(SEARCH("EMERGENCY",C106)),ISNUMBER(SEARCH("SWEEP",C106)),ISNUMBER(SEARCH("RESERVE",C106))),"Emergency Fund Allocation","Unallocated Flex Buffer")))))))))</f>
        <v/>
      </c>
      <c r="J106" s="39" t="inlineStr"/>
      <c r="K106" s="23">
        <f>IF(C106="","",IF(J106&lt;&gt;"",J106,I106))</f>
        <v/>
      </c>
      <c r="L106" s="40">
        <f>IF(A106="","",IF(ISNUMBER(A106),TEXT(A106,"mmm-yyyy"),"Oct-2026"))</f>
        <v/>
      </c>
      <c r="M106" s="40">
        <f>IF(D106&gt;=5000,"🚨 High Value Debit (₹"&amp;TEXT(D106,"#,##0")&amp;")",IF(D106&gt;=1000,"⚡ Notable Expense","—"))</f>
        <v/>
      </c>
    </row>
    <row r="107">
      <c r="A107" s="39" t="inlineStr"/>
      <c r="B107" s="39" t="inlineStr"/>
      <c r="C107" s="39" t="inlineStr"/>
      <c r="D107" s="41" t="inlineStr"/>
      <c r="E107" s="41" t="inlineStr"/>
      <c r="F107" s="41" t="inlineStr"/>
      <c r="G107" s="39" t="inlineStr"/>
      <c r="H107" s="26">
        <f>IF(C107="","",IF(E107&gt;0,"INCOME",IF(D107&gt;0,"EXPENSE","NEUTRAL")))</f>
        <v/>
      </c>
      <c r="I107" s="39">
        <f>IF(C107="","",=IF(OR(ISNUMBER(SEARCH("STIPEND",C107)),ISNUMBER(SEARCH("SIGMASOFT",C107)),ISNUMBER(SEARCH("SALARY",C107))),"Internship Stipend",IF(OR(ISNUMBER(SEARCH("FAMILY",C107)),ISNUMBER(SEARCH("PAPA",C107)),ISNUMBER(SEARCH("MOM",C107)),ISNUMBER(SEARCH("FATHER",C107))),"Family Support",IF(OR(ISNUMBER(SEARCH("PG",C107)),ISNUMBER(SEARCH("RENT",C107)),ISNUMBER(SEARCH("STANZA",C107)),ISNUMBER(SEARCH("ZOLO",C107))),"PG Rent &amp; Covered Meals",IF(OR(ISNUMBER(SEARCH("GROWW",C107)),ISNUMBER(SEARCH("ZERODHA",C107)),ISNUMBER(SEARCH("MUTUAL",C107)),ISNUMBER(SEARCH("SIP",C107)),ISNUMBER(SEARCH("NIPPON",C107))),"Monthly SIP Investment",IF(OR(ISNUMBER(SEARCH("BMTC",C107)),ISNUMBER(SEARCH("BUS",C107)),ISNUMBER(SEARCH("METRO",C107)),ISNUMBER(SEARCH("CHALO",C107))),"BMTC Bus Commute",IF(OR(ISNUMBER(SEARCH("SWIGGY",C107)),ISNUMBER(SEARCH("ZOMATO",C107)),ISNUMBER(SEARCH("CANTEEN",C107)),ISNUMBER(SEARCH("LUNCH",C107)),ISNUMBER(SEARCH("FOOD",C107)),ISNUMBER(SEARCH("SUBWAY",C107))),"Daily Office Lunch (Mon–Sat)",IF(OR(ISNUMBER(SEARCH("BLINKIT",C107)),ISNUMBER(SEARCH("ZEPTO",C107)),ISNUMBER(SEARCH("RECHARGE",C107)),ISNUMBER(SEARCH("JIO",C107)),ISNUMBER(SEARCH("AIRTEL",C107)),ISNUMBER(SEARCH("PHARMACY",C107)),ISNUMBER(SEARCH("APOLLO",C107)),ISNUMBER(SEARCH("ESSENTIALS",C107)),ISNUMBER(SEARCH("LIFESTYLE",C107))),"Lifestyle &amp; Personal Essentials",IF(OR(ISNUMBER(SEARCH("EMERGENCY",C107)),ISNUMBER(SEARCH("SWEEP",C107)),ISNUMBER(SEARCH("RESERVE",C107))),"Emergency Fund Allocation","Unallocated Flex Buffer")))))))))</f>
        <v/>
      </c>
      <c r="J107" s="39" t="inlineStr"/>
      <c r="K107" s="23">
        <f>IF(C107="","",IF(J107&lt;&gt;"",J107,I107))</f>
        <v/>
      </c>
      <c r="L107" s="40">
        <f>IF(A107="","",IF(ISNUMBER(A107),TEXT(A107,"mmm-yyyy"),"Oct-2026"))</f>
        <v/>
      </c>
      <c r="M107" s="40">
        <f>IF(D107&gt;=5000,"🚨 High Value Debit (₹"&amp;TEXT(D107,"#,##0")&amp;")",IF(D107&gt;=1000,"⚡ Notable Expense","—"))</f>
        <v/>
      </c>
    </row>
    <row r="108">
      <c r="A108" s="39" t="inlineStr"/>
      <c r="B108" s="39" t="inlineStr"/>
      <c r="C108" s="39" t="inlineStr"/>
      <c r="D108" s="41" t="inlineStr"/>
      <c r="E108" s="41" t="inlineStr"/>
      <c r="F108" s="41" t="inlineStr"/>
      <c r="G108" s="39" t="inlineStr"/>
      <c r="H108" s="26">
        <f>IF(C108="","",IF(E108&gt;0,"INCOME",IF(D108&gt;0,"EXPENSE","NEUTRAL")))</f>
        <v/>
      </c>
      <c r="I108" s="39">
        <f>IF(C108="","",=IF(OR(ISNUMBER(SEARCH("STIPEND",C108)),ISNUMBER(SEARCH("SIGMASOFT",C108)),ISNUMBER(SEARCH("SALARY",C108))),"Internship Stipend",IF(OR(ISNUMBER(SEARCH("FAMILY",C108)),ISNUMBER(SEARCH("PAPA",C108)),ISNUMBER(SEARCH("MOM",C108)),ISNUMBER(SEARCH("FATHER",C108))),"Family Support",IF(OR(ISNUMBER(SEARCH("PG",C108)),ISNUMBER(SEARCH("RENT",C108)),ISNUMBER(SEARCH("STANZA",C108)),ISNUMBER(SEARCH("ZOLO",C108))),"PG Rent &amp; Covered Meals",IF(OR(ISNUMBER(SEARCH("GROWW",C108)),ISNUMBER(SEARCH("ZERODHA",C108)),ISNUMBER(SEARCH("MUTUAL",C108)),ISNUMBER(SEARCH("SIP",C108)),ISNUMBER(SEARCH("NIPPON",C108))),"Monthly SIP Investment",IF(OR(ISNUMBER(SEARCH("BMTC",C108)),ISNUMBER(SEARCH("BUS",C108)),ISNUMBER(SEARCH("METRO",C108)),ISNUMBER(SEARCH("CHALO",C108))),"BMTC Bus Commute",IF(OR(ISNUMBER(SEARCH("SWIGGY",C108)),ISNUMBER(SEARCH("ZOMATO",C108)),ISNUMBER(SEARCH("CANTEEN",C108)),ISNUMBER(SEARCH("LUNCH",C108)),ISNUMBER(SEARCH("FOOD",C108)),ISNUMBER(SEARCH("SUBWAY",C108))),"Daily Office Lunch (Mon–Sat)",IF(OR(ISNUMBER(SEARCH("BLINKIT",C108)),ISNUMBER(SEARCH("ZEPTO",C108)),ISNUMBER(SEARCH("RECHARGE",C108)),ISNUMBER(SEARCH("JIO",C108)),ISNUMBER(SEARCH("AIRTEL",C108)),ISNUMBER(SEARCH("PHARMACY",C108)),ISNUMBER(SEARCH("APOLLO",C108)),ISNUMBER(SEARCH("ESSENTIALS",C108)),ISNUMBER(SEARCH("LIFESTYLE",C108))),"Lifestyle &amp; Personal Essentials",IF(OR(ISNUMBER(SEARCH("EMERGENCY",C108)),ISNUMBER(SEARCH("SWEEP",C108)),ISNUMBER(SEARCH("RESERVE",C108))),"Emergency Fund Allocation","Unallocated Flex Buffer")))))))))</f>
        <v/>
      </c>
      <c r="J108" s="39" t="inlineStr"/>
      <c r="K108" s="23">
        <f>IF(C108="","",IF(J108&lt;&gt;"",J108,I108))</f>
        <v/>
      </c>
      <c r="L108" s="40">
        <f>IF(A108="","",IF(ISNUMBER(A108),TEXT(A108,"mmm-yyyy"),"Oct-2026"))</f>
        <v/>
      </c>
      <c r="M108" s="40">
        <f>IF(D108&gt;=5000,"🚨 High Value Debit (₹"&amp;TEXT(D108,"#,##0")&amp;")",IF(D108&gt;=1000,"⚡ Notable Expense","—"))</f>
        <v/>
      </c>
    </row>
    <row r="109">
      <c r="A109" s="39" t="inlineStr"/>
      <c r="B109" s="39" t="inlineStr"/>
      <c r="C109" s="39" t="inlineStr"/>
      <c r="D109" s="41" t="inlineStr"/>
      <c r="E109" s="41" t="inlineStr"/>
      <c r="F109" s="41" t="inlineStr"/>
      <c r="G109" s="39" t="inlineStr"/>
      <c r="H109" s="26">
        <f>IF(C109="","",IF(E109&gt;0,"INCOME",IF(D109&gt;0,"EXPENSE","NEUTRAL")))</f>
        <v/>
      </c>
      <c r="I109" s="39">
        <f>IF(C109="","",=IF(OR(ISNUMBER(SEARCH("STIPEND",C109)),ISNUMBER(SEARCH("SIGMASOFT",C109)),ISNUMBER(SEARCH("SALARY",C109))),"Internship Stipend",IF(OR(ISNUMBER(SEARCH("FAMILY",C109)),ISNUMBER(SEARCH("PAPA",C109)),ISNUMBER(SEARCH("MOM",C109)),ISNUMBER(SEARCH("FATHER",C109))),"Family Support",IF(OR(ISNUMBER(SEARCH("PG",C109)),ISNUMBER(SEARCH("RENT",C109)),ISNUMBER(SEARCH("STANZA",C109)),ISNUMBER(SEARCH("ZOLO",C109))),"PG Rent &amp; Covered Meals",IF(OR(ISNUMBER(SEARCH("GROWW",C109)),ISNUMBER(SEARCH("ZERODHA",C109)),ISNUMBER(SEARCH("MUTUAL",C109)),ISNUMBER(SEARCH("SIP",C109)),ISNUMBER(SEARCH("NIPPON",C109))),"Monthly SIP Investment",IF(OR(ISNUMBER(SEARCH("BMTC",C109)),ISNUMBER(SEARCH("BUS",C109)),ISNUMBER(SEARCH("METRO",C109)),ISNUMBER(SEARCH("CHALO",C109))),"BMTC Bus Commute",IF(OR(ISNUMBER(SEARCH("SWIGGY",C109)),ISNUMBER(SEARCH("ZOMATO",C109)),ISNUMBER(SEARCH("CANTEEN",C109)),ISNUMBER(SEARCH("LUNCH",C109)),ISNUMBER(SEARCH("FOOD",C109)),ISNUMBER(SEARCH("SUBWAY",C109))),"Daily Office Lunch (Mon–Sat)",IF(OR(ISNUMBER(SEARCH("BLINKIT",C109)),ISNUMBER(SEARCH("ZEPTO",C109)),ISNUMBER(SEARCH("RECHARGE",C109)),ISNUMBER(SEARCH("JIO",C109)),ISNUMBER(SEARCH("AIRTEL",C109)),ISNUMBER(SEARCH("PHARMACY",C109)),ISNUMBER(SEARCH("APOLLO",C109)),ISNUMBER(SEARCH("ESSENTIALS",C109)),ISNUMBER(SEARCH("LIFESTYLE",C109))),"Lifestyle &amp; Personal Essentials",IF(OR(ISNUMBER(SEARCH("EMERGENCY",C109)),ISNUMBER(SEARCH("SWEEP",C109)),ISNUMBER(SEARCH("RESERVE",C109))),"Emergency Fund Allocation","Unallocated Flex Buffer")))))))))</f>
        <v/>
      </c>
      <c r="J109" s="39" t="inlineStr"/>
      <c r="K109" s="23">
        <f>IF(C109="","",IF(J109&lt;&gt;"",J109,I109))</f>
        <v/>
      </c>
      <c r="L109" s="40">
        <f>IF(A109="","",IF(ISNUMBER(A109),TEXT(A109,"mmm-yyyy"),"Oct-2026"))</f>
        <v/>
      </c>
      <c r="M109" s="40">
        <f>IF(D109&gt;=5000,"🚨 High Value Debit (₹"&amp;TEXT(D109,"#,##0")&amp;")",IF(D109&gt;=1000,"⚡ Notable Expense","—"))</f>
        <v/>
      </c>
    </row>
    <row r="110">
      <c r="A110" s="39" t="inlineStr"/>
      <c r="B110" s="39" t="inlineStr"/>
      <c r="C110" s="39" t="inlineStr"/>
      <c r="D110" s="41" t="inlineStr"/>
      <c r="E110" s="41" t="inlineStr"/>
      <c r="F110" s="41" t="inlineStr"/>
      <c r="G110" s="39" t="inlineStr"/>
      <c r="H110" s="26">
        <f>IF(C110="","",IF(E110&gt;0,"INCOME",IF(D110&gt;0,"EXPENSE","NEUTRAL")))</f>
        <v/>
      </c>
      <c r="I110" s="39">
        <f>IF(C110="","",=IF(OR(ISNUMBER(SEARCH("STIPEND",C110)),ISNUMBER(SEARCH("SIGMASOFT",C110)),ISNUMBER(SEARCH("SALARY",C110))),"Internship Stipend",IF(OR(ISNUMBER(SEARCH("FAMILY",C110)),ISNUMBER(SEARCH("PAPA",C110)),ISNUMBER(SEARCH("MOM",C110)),ISNUMBER(SEARCH("FATHER",C110))),"Family Support",IF(OR(ISNUMBER(SEARCH("PG",C110)),ISNUMBER(SEARCH("RENT",C110)),ISNUMBER(SEARCH("STANZA",C110)),ISNUMBER(SEARCH("ZOLO",C110))),"PG Rent &amp; Covered Meals",IF(OR(ISNUMBER(SEARCH("GROWW",C110)),ISNUMBER(SEARCH("ZERODHA",C110)),ISNUMBER(SEARCH("MUTUAL",C110)),ISNUMBER(SEARCH("SIP",C110)),ISNUMBER(SEARCH("NIPPON",C110))),"Monthly SIP Investment",IF(OR(ISNUMBER(SEARCH("BMTC",C110)),ISNUMBER(SEARCH("BUS",C110)),ISNUMBER(SEARCH("METRO",C110)),ISNUMBER(SEARCH("CHALO",C110))),"BMTC Bus Commute",IF(OR(ISNUMBER(SEARCH("SWIGGY",C110)),ISNUMBER(SEARCH("ZOMATO",C110)),ISNUMBER(SEARCH("CANTEEN",C110)),ISNUMBER(SEARCH("LUNCH",C110)),ISNUMBER(SEARCH("FOOD",C110)),ISNUMBER(SEARCH("SUBWAY",C110))),"Daily Office Lunch (Mon–Sat)",IF(OR(ISNUMBER(SEARCH("BLINKIT",C110)),ISNUMBER(SEARCH("ZEPTO",C110)),ISNUMBER(SEARCH("RECHARGE",C110)),ISNUMBER(SEARCH("JIO",C110)),ISNUMBER(SEARCH("AIRTEL",C110)),ISNUMBER(SEARCH("PHARMACY",C110)),ISNUMBER(SEARCH("APOLLO",C110)),ISNUMBER(SEARCH("ESSENTIALS",C110)),ISNUMBER(SEARCH("LIFESTYLE",C110))),"Lifestyle &amp; Personal Essentials",IF(OR(ISNUMBER(SEARCH("EMERGENCY",C110)),ISNUMBER(SEARCH("SWEEP",C110)),ISNUMBER(SEARCH("RESERVE",C110))),"Emergency Fund Allocation","Unallocated Flex Buffer")))))))))</f>
        <v/>
      </c>
      <c r="J110" s="39" t="inlineStr"/>
      <c r="K110" s="23">
        <f>IF(C110="","",IF(J110&lt;&gt;"",J110,I110))</f>
        <v/>
      </c>
      <c r="L110" s="40">
        <f>IF(A110="","",IF(ISNUMBER(A110),TEXT(A110,"mmm-yyyy"),"Oct-2026"))</f>
        <v/>
      </c>
      <c r="M110" s="40">
        <f>IF(D110&gt;=5000,"🚨 High Value Debit (₹"&amp;TEXT(D110,"#,##0")&amp;")",IF(D110&gt;=1000,"⚡ Notable Expense","—"))</f>
        <v/>
      </c>
    </row>
    <row r="111">
      <c r="A111" s="39" t="inlineStr"/>
      <c r="B111" s="39" t="inlineStr"/>
      <c r="C111" s="39" t="inlineStr"/>
      <c r="D111" s="41" t="inlineStr"/>
      <c r="E111" s="41" t="inlineStr"/>
      <c r="F111" s="41" t="inlineStr"/>
      <c r="G111" s="39" t="inlineStr"/>
      <c r="H111" s="26">
        <f>IF(C111="","",IF(E111&gt;0,"INCOME",IF(D111&gt;0,"EXPENSE","NEUTRAL")))</f>
        <v/>
      </c>
      <c r="I111" s="39">
        <f>IF(C111="","",=IF(OR(ISNUMBER(SEARCH("STIPEND",C111)),ISNUMBER(SEARCH("SIGMASOFT",C111)),ISNUMBER(SEARCH("SALARY",C111))),"Internship Stipend",IF(OR(ISNUMBER(SEARCH("FAMILY",C111)),ISNUMBER(SEARCH("PAPA",C111)),ISNUMBER(SEARCH("MOM",C111)),ISNUMBER(SEARCH("FATHER",C111))),"Family Support",IF(OR(ISNUMBER(SEARCH("PG",C111)),ISNUMBER(SEARCH("RENT",C111)),ISNUMBER(SEARCH("STANZA",C111)),ISNUMBER(SEARCH("ZOLO",C111))),"PG Rent &amp; Covered Meals",IF(OR(ISNUMBER(SEARCH("GROWW",C111)),ISNUMBER(SEARCH("ZERODHA",C111)),ISNUMBER(SEARCH("MUTUAL",C111)),ISNUMBER(SEARCH("SIP",C111)),ISNUMBER(SEARCH("NIPPON",C111))),"Monthly SIP Investment",IF(OR(ISNUMBER(SEARCH("BMTC",C111)),ISNUMBER(SEARCH("BUS",C111)),ISNUMBER(SEARCH("METRO",C111)),ISNUMBER(SEARCH("CHALO",C111))),"BMTC Bus Commute",IF(OR(ISNUMBER(SEARCH("SWIGGY",C111)),ISNUMBER(SEARCH("ZOMATO",C111)),ISNUMBER(SEARCH("CANTEEN",C111)),ISNUMBER(SEARCH("LUNCH",C111)),ISNUMBER(SEARCH("FOOD",C111)),ISNUMBER(SEARCH("SUBWAY",C111))),"Daily Office Lunch (Mon–Sat)",IF(OR(ISNUMBER(SEARCH("BLINKIT",C111)),ISNUMBER(SEARCH("ZEPTO",C111)),ISNUMBER(SEARCH("RECHARGE",C111)),ISNUMBER(SEARCH("JIO",C111)),ISNUMBER(SEARCH("AIRTEL",C111)),ISNUMBER(SEARCH("PHARMACY",C111)),ISNUMBER(SEARCH("APOLLO",C111)),ISNUMBER(SEARCH("ESSENTIALS",C111)),ISNUMBER(SEARCH("LIFESTYLE",C111))),"Lifestyle &amp; Personal Essentials",IF(OR(ISNUMBER(SEARCH("EMERGENCY",C111)),ISNUMBER(SEARCH("SWEEP",C111)),ISNUMBER(SEARCH("RESERVE",C111))),"Emergency Fund Allocation","Unallocated Flex Buffer")))))))))</f>
        <v/>
      </c>
      <c r="J111" s="39" t="inlineStr"/>
      <c r="K111" s="23">
        <f>IF(C111="","",IF(J111&lt;&gt;"",J111,I111))</f>
        <v/>
      </c>
      <c r="L111" s="40">
        <f>IF(A111="","",IF(ISNUMBER(A111),TEXT(A111,"mmm-yyyy"),"Oct-2026"))</f>
        <v/>
      </c>
      <c r="M111" s="40">
        <f>IF(D111&gt;=5000,"🚨 High Value Debit (₹"&amp;TEXT(D111,"#,##0")&amp;")",IF(D111&gt;=1000,"⚡ Notable Expense","—"))</f>
        <v/>
      </c>
    </row>
    <row r="112">
      <c r="A112" s="39" t="inlineStr"/>
      <c r="B112" s="39" t="inlineStr"/>
      <c r="C112" s="39" t="inlineStr"/>
      <c r="D112" s="41" t="inlineStr"/>
      <c r="E112" s="41" t="inlineStr"/>
      <c r="F112" s="41" t="inlineStr"/>
      <c r="G112" s="39" t="inlineStr"/>
      <c r="H112" s="26">
        <f>IF(C112="","",IF(E112&gt;0,"INCOME",IF(D112&gt;0,"EXPENSE","NEUTRAL")))</f>
        <v/>
      </c>
      <c r="I112" s="39">
        <f>IF(C112="","",=IF(OR(ISNUMBER(SEARCH("STIPEND",C112)),ISNUMBER(SEARCH("SIGMASOFT",C112)),ISNUMBER(SEARCH("SALARY",C112))),"Internship Stipend",IF(OR(ISNUMBER(SEARCH("FAMILY",C112)),ISNUMBER(SEARCH("PAPA",C112)),ISNUMBER(SEARCH("MOM",C112)),ISNUMBER(SEARCH("FATHER",C112))),"Family Support",IF(OR(ISNUMBER(SEARCH("PG",C112)),ISNUMBER(SEARCH("RENT",C112)),ISNUMBER(SEARCH("STANZA",C112)),ISNUMBER(SEARCH("ZOLO",C112))),"PG Rent &amp; Covered Meals",IF(OR(ISNUMBER(SEARCH("GROWW",C112)),ISNUMBER(SEARCH("ZERODHA",C112)),ISNUMBER(SEARCH("MUTUAL",C112)),ISNUMBER(SEARCH("SIP",C112)),ISNUMBER(SEARCH("NIPPON",C112))),"Monthly SIP Investment",IF(OR(ISNUMBER(SEARCH("BMTC",C112)),ISNUMBER(SEARCH("BUS",C112)),ISNUMBER(SEARCH("METRO",C112)),ISNUMBER(SEARCH("CHALO",C112))),"BMTC Bus Commute",IF(OR(ISNUMBER(SEARCH("SWIGGY",C112)),ISNUMBER(SEARCH("ZOMATO",C112)),ISNUMBER(SEARCH("CANTEEN",C112)),ISNUMBER(SEARCH("LUNCH",C112)),ISNUMBER(SEARCH("FOOD",C112)),ISNUMBER(SEARCH("SUBWAY",C112))),"Daily Office Lunch (Mon–Sat)",IF(OR(ISNUMBER(SEARCH("BLINKIT",C112)),ISNUMBER(SEARCH("ZEPTO",C112)),ISNUMBER(SEARCH("RECHARGE",C112)),ISNUMBER(SEARCH("JIO",C112)),ISNUMBER(SEARCH("AIRTEL",C112)),ISNUMBER(SEARCH("PHARMACY",C112)),ISNUMBER(SEARCH("APOLLO",C112)),ISNUMBER(SEARCH("ESSENTIALS",C112)),ISNUMBER(SEARCH("LIFESTYLE",C112))),"Lifestyle &amp; Personal Essentials",IF(OR(ISNUMBER(SEARCH("EMERGENCY",C112)),ISNUMBER(SEARCH("SWEEP",C112)),ISNUMBER(SEARCH("RESERVE",C112))),"Emergency Fund Allocation","Unallocated Flex Buffer")))))))))</f>
        <v/>
      </c>
      <c r="J112" s="39" t="inlineStr"/>
      <c r="K112" s="23">
        <f>IF(C112="","",IF(J112&lt;&gt;"",J112,I112))</f>
        <v/>
      </c>
      <c r="L112" s="40">
        <f>IF(A112="","",IF(ISNUMBER(A112),TEXT(A112,"mmm-yyyy"),"Oct-2026"))</f>
        <v/>
      </c>
      <c r="M112" s="40">
        <f>IF(D112&gt;=5000,"🚨 High Value Debit (₹"&amp;TEXT(D112,"#,##0")&amp;")",IF(D112&gt;=1000,"⚡ Notable Expense","—"))</f>
        <v/>
      </c>
    </row>
    <row r="113">
      <c r="A113" s="39" t="inlineStr"/>
      <c r="B113" s="39" t="inlineStr"/>
      <c r="C113" s="39" t="inlineStr"/>
      <c r="D113" s="41" t="inlineStr"/>
      <c r="E113" s="41" t="inlineStr"/>
      <c r="F113" s="41" t="inlineStr"/>
      <c r="G113" s="39" t="inlineStr"/>
      <c r="H113" s="26">
        <f>IF(C113="","",IF(E113&gt;0,"INCOME",IF(D113&gt;0,"EXPENSE","NEUTRAL")))</f>
        <v/>
      </c>
      <c r="I113" s="39">
        <f>IF(C113="","",=IF(OR(ISNUMBER(SEARCH("STIPEND",C113)),ISNUMBER(SEARCH("SIGMASOFT",C113)),ISNUMBER(SEARCH("SALARY",C113))),"Internship Stipend",IF(OR(ISNUMBER(SEARCH("FAMILY",C113)),ISNUMBER(SEARCH("PAPA",C113)),ISNUMBER(SEARCH("MOM",C113)),ISNUMBER(SEARCH("FATHER",C113))),"Family Support",IF(OR(ISNUMBER(SEARCH("PG",C113)),ISNUMBER(SEARCH("RENT",C113)),ISNUMBER(SEARCH("STANZA",C113)),ISNUMBER(SEARCH("ZOLO",C113))),"PG Rent &amp; Covered Meals",IF(OR(ISNUMBER(SEARCH("GROWW",C113)),ISNUMBER(SEARCH("ZERODHA",C113)),ISNUMBER(SEARCH("MUTUAL",C113)),ISNUMBER(SEARCH("SIP",C113)),ISNUMBER(SEARCH("NIPPON",C113))),"Monthly SIP Investment",IF(OR(ISNUMBER(SEARCH("BMTC",C113)),ISNUMBER(SEARCH("BUS",C113)),ISNUMBER(SEARCH("METRO",C113)),ISNUMBER(SEARCH("CHALO",C113))),"BMTC Bus Commute",IF(OR(ISNUMBER(SEARCH("SWIGGY",C113)),ISNUMBER(SEARCH("ZOMATO",C113)),ISNUMBER(SEARCH("CANTEEN",C113)),ISNUMBER(SEARCH("LUNCH",C113)),ISNUMBER(SEARCH("FOOD",C113)),ISNUMBER(SEARCH("SUBWAY",C113))),"Daily Office Lunch (Mon–Sat)",IF(OR(ISNUMBER(SEARCH("BLINKIT",C113)),ISNUMBER(SEARCH("ZEPTO",C113)),ISNUMBER(SEARCH("RECHARGE",C113)),ISNUMBER(SEARCH("JIO",C113)),ISNUMBER(SEARCH("AIRTEL",C113)),ISNUMBER(SEARCH("PHARMACY",C113)),ISNUMBER(SEARCH("APOLLO",C113)),ISNUMBER(SEARCH("ESSENTIALS",C113)),ISNUMBER(SEARCH("LIFESTYLE",C113))),"Lifestyle &amp; Personal Essentials",IF(OR(ISNUMBER(SEARCH("EMERGENCY",C113)),ISNUMBER(SEARCH("SWEEP",C113)),ISNUMBER(SEARCH("RESERVE",C113))),"Emergency Fund Allocation","Unallocated Flex Buffer")))))))))</f>
        <v/>
      </c>
      <c r="J113" s="39" t="inlineStr"/>
      <c r="K113" s="23">
        <f>IF(C113="","",IF(J113&lt;&gt;"",J113,I113))</f>
        <v/>
      </c>
      <c r="L113" s="40">
        <f>IF(A113="","",IF(ISNUMBER(A113),TEXT(A113,"mmm-yyyy"),"Oct-2026"))</f>
        <v/>
      </c>
      <c r="M113" s="40">
        <f>IF(D113&gt;=5000,"🚨 High Value Debit (₹"&amp;TEXT(D113,"#,##0")&amp;")",IF(D113&gt;=1000,"⚡ Notable Expense","—"))</f>
        <v/>
      </c>
    </row>
    <row r="114">
      <c r="A114" s="39" t="inlineStr"/>
      <c r="B114" s="39" t="inlineStr"/>
      <c r="C114" s="39" t="inlineStr"/>
      <c r="D114" s="41" t="inlineStr"/>
      <c r="E114" s="41" t="inlineStr"/>
      <c r="F114" s="41" t="inlineStr"/>
      <c r="G114" s="39" t="inlineStr"/>
      <c r="H114" s="26">
        <f>IF(C114="","",IF(E114&gt;0,"INCOME",IF(D114&gt;0,"EXPENSE","NEUTRAL")))</f>
        <v/>
      </c>
      <c r="I114" s="39">
        <f>IF(C114="","",=IF(OR(ISNUMBER(SEARCH("STIPEND",C114)),ISNUMBER(SEARCH("SIGMASOFT",C114)),ISNUMBER(SEARCH("SALARY",C114))),"Internship Stipend",IF(OR(ISNUMBER(SEARCH("FAMILY",C114)),ISNUMBER(SEARCH("PAPA",C114)),ISNUMBER(SEARCH("MOM",C114)),ISNUMBER(SEARCH("FATHER",C114))),"Family Support",IF(OR(ISNUMBER(SEARCH("PG",C114)),ISNUMBER(SEARCH("RENT",C114)),ISNUMBER(SEARCH("STANZA",C114)),ISNUMBER(SEARCH("ZOLO",C114))),"PG Rent &amp; Covered Meals",IF(OR(ISNUMBER(SEARCH("GROWW",C114)),ISNUMBER(SEARCH("ZERODHA",C114)),ISNUMBER(SEARCH("MUTUAL",C114)),ISNUMBER(SEARCH("SIP",C114)),ISNUMBER(SEARCH("NIPPON",C114))),"Monthly SIP Investment",IF(OR(ISNUMBER(SEARCH("BMTC",C114)),ISNUMBER(SEARCH("BUS",C114)),ISNUMBER(SEARCH("METRO",C114)),ISNUMBER(SEARCH("CHALO",C114))),"BMTC Bus Commute",IF(OR(ISNUMBER(SEARCH("SWIGGY",C114)),ISNUMBER(SEARCH("ZOMATO",C114)),ISNUMBER(SEARCH("CANTEEN",C114)),ISNUMBER(SEARCH("LUNCH",C114)),ISNUMBER(SEARCH("FOOD",C114)),ISNUMBER(SEARCH("SUBWAY",C114))),"Daily Office Lunch (Mon–Sat)",IF(OR(ISNUMBER(SEARCH("BLINKIT",C114)),ISNUMBER(SEARCH("ZEPTO",C114)),ISNUMBER(SEARCH("RECHARGE",C114)),ISNUMBER(SEARCH("JIO",C114)),ISNUMBER(SEARCH("AIRTEL",C114)),ISNUMBER(SEARCH("PHARMACY",C114)),ISNUMBER(SEARCH("APOLLO",C114)),ISNUMBER(SEARCH("ESSENTIALS",C114)),ISNUMBER(SEARCH("LIFESTYLE",C114))),"Lifestyle &amp; Personal Essentials",IF(OR(ISNUMBER(SEARCH("EMERGENCY",C114)),ISNUMBER(SEARCH("SWEEP",C114)),ISNUMBER(SEARCH("RESERVE",C114))),"Emergency Fund Allocation","Unallocated Flex Buffer")))))))))</f>
        <v/>
      </c>
      <c r="J114" s="39" t="inlineStr"/>
      <c r="K114" s="23">
        <f>IF(C114="","",IF(J114&lt;&gt;"",J114,I114))</f>
        <v/>
      </c>
      <c r="L114" s="40">
        <f>IF(A114="","",IF(ISNUMBER(A114),TEXT(A114,"mmm-yyyy"),"Oct-2026"))</f>
        <v/>
      </c>
      <c r="M114" s="40">
        <f>IF(D114&gt;=5000,"🚨 High Value Debit (₹"&amp;TEXT(D114,"#,##0")&amp;")",IF(D114&gt;=1000,"⚡ Notable Expense","—"))</f>
        <v/>
      </c>
    </row>
    <row r="115">
      <c r="A115" s="39" t="inlineStr"/>
      <c r="B115" s="39" t="inlineStr"/>
      <c r="C115" s="39" t="inlineStr"/>
      <c r="D115" s="41" t="inlineStr"/>
      <c r="E115" s="41" t="inlineStr"/>
      <c r="F115" s="41" t="inlineStr"/>
      <c r="G115" s="39" t="inlineStr"/>
      <c r="H115" s="26">
        <f>IF(C115="","",IF(E115&gt;0,"INCOME",IF(D115&gt;0,"EXPENSE","NEUTRAL")))</f>
        <v/>
      </c>
      <c r="I115" s="39">
        <f>IF(C115="","",=IF(OR(ISNUMBER(SEARCH("STIPEND",C115)),ISNUMBER(SEARCH("SIGMASOFT",C115)),ISNUMBER(SEARCH("SALARY",C115))),"Internship Stipend",IF(OR(ISNUMBER(SEARCH("FAMILY",C115)),ISNUMBER(SEARCH("PAPA",C115)),ISNUMBER(SEARCH("MOM",C115)),ISNUMBER(SEARCH("FATHER",C115))),"Family Support",IF(OR(ISNUMBER(SEARCH("PG",C115)),ISNUMBER(SEARCH("RENT",C115)),ISNUMBER(SEARCH("STANZA",C115)),ISNUMBER(SEARCH("ZOLO",C115))),"PG Rent &amp; Covered Meals",IF(OR(ISNUMBER(SEARCH("GROWW",C115)),ISNUMBER(SEARCH("ZERODHA",C115)),ISNUMBER(SEARCH("MUTUAL",C115)),ISNUMBER(SEARCH("SIP",C115)),ISNUMBER(SEARCH("NIPPON",C115))),"Monthly SIP Investment",IF(OR(ISNUMBER(SEARCH("BMTC",C115)),ISNUMBER(SEARCH("BUS",C115)),ISNUMBER(SEARCH("METRO",C115)),ISNUMBER(SEARCH("CHALO",C115))),"BMTC Bus Commute",IF(OR(ISNUMBER(SEARCH("SWIGGY",C115)),ISNUMBER(SEARCH("ZOMATO",C115)),ISNUMBER(SEARCH("CANTEEN",C115)),ISNUMBER(SEARCH("LUNCH",C115)),ISNUMBER(SEARCH("FOOD",C115)),ISNUMBER(SEARCH("SUBWAY",C115))),"Daily Office Lunch (Mon–Sat)",IF(OR(ISNUMBER(SEARCH("BLINKIT",C115)),ISNUMBER(SEARCH("ZEPTO",C115)),ISNUMBER(SEARCH("RECHARGE",C115)),ISNUMBER(SEARCH("JIO",C115)),ISNUMBER(SEARCH("AIRTEL",C115)),ISNUMBER(SEARCH("PHARMACY",C115)),ISNUMBER(SEARCH("APOLLO",C115)),ISNUMBER(SEARCH("ESSENTIALS",C115)),ISNUMBER(SEARCH("LIFESTYLE",C115))),"Lifestyle &amp; Personal Essentials",IF(OR(ISNUMBER(SEARCH("EMERGENCY",C115)),ISNUMBER(SEARCH("SWEEP",C115)),ISNUMBER(SEARCH("RESERVE",C115))),"Emergency Fund Allocation","Unallocated Flex Buffer")))))))))</f>
        <v/>
      </c>
      <c r="J115" s="39" t="inlineStr"/>
      <c r="K115" s="23">
        <f>IF(C115="","",IF(J115&lt;&gt;"",J115,I115))</f>
        <v/>
      </c>
      <c r="L115" s="40">
        <f>IF(A115="","",IF(ISNUMBER(A115),TEXT(A115,"mmm-yyyy"),"Oct-2026"))</f>
        <v/>
      </c>
      <c r="M115" s="40">
        <f>IF(D115&gt;=5000,"🚨 High Value Debit (₹"&amp;TEXT(D115,"#,##0")&amp;")",IF(D115&gt;=1000,"⚡ Notable Expense","—"))</f>
        <v/>
      </c>
    </row>
    <row r="116">
      <c r="A116" s="39" t="inlineStr"/>
      <c r="B116" s="39" t="inlineStr"/>
      <c r="C116" s="39" t="inlineStr"/>
      <c r="D116" s="41" t="inlineStr"/>
      <c r="E116" s="41" t="inlineStr"/>
      <c r="F116" s="41" t="inlineStr"/>
      <c r="G116" s="39" t="inlineStr"/>
      <c r="H116" s="26">
        <f>IF(C116="","",IF(E116&gt;0,"INCOME",IF(D116&gt;0,"EXPENSE","NEUTRAL")))</f>
        <v/>
      </c>
      <c r="I116" s="39">
        <f>IF(C116="","",=IF(OR(ISNUMBER(SEARCH("STIPEND",C116)),ISNUMBER(SEARCH("SIGMASOFT",C116)),ISNUMBER(SEARCH("SALARY",C116))),"Internship Stipend",IF(OR(ISNUMBER(SEARCH("FAMILY",C116)),ISNUMBER(SEARCH("PAPA",C116)),ISNUMBER(SEARCH("MOM",C116)),ISNUMBER(SEARCH("FATHER",C116))),"Family Support",IF(OR(ISNUMBER(SEARCH("PG",C116)),ISNUMBER(SEARCH("RENT",C116)),ISNUMBER(SEARCH("STANZA",C116)),ISNUMBER(SEARCH("ZOLO",C116))),"PG Rent &amp; Covered Meals",IF(OR(ISNUMBER(SEARCH("GROWW",C116)),ISNUMBER(SEARCH("ZERODHA",C116)),ISNUMBER(SEARCH("MUTUAL",C116)),ISNUMBER(SEARCH("SIP",C116)),ISNUMBER(SEARCH("NIPPON",C116))),"Monthly SIP Investment",IF(OR(ISNUMBER(SEARCH("BMTC",C116)),ISNUMBER(SEARCH("BUS",C116)),ISNUMBER(SEARCH("METRO",C116)),ISNUMBER(SEARCH("CHALO",C116))),"BMTC Bus Commute",IF(OR(ISNUMBER(SEARCH("SWIGGY",C116)),ISNUMBER(SEARCH("ZOMATO",C116)),ISNUMBER(SEARCH("CANTEEN",C116)),ISNUMBER(SEARCH("LUNCH",C116)),ISNUMBER(SEARCH("FOOD",C116)),ISNUMBER(SEARCH("SUBWAY",C116))),"Daily Office Lunch (Mon–Sat)",IF(OR(ISNUMBER(SEARCH("BLINKIT",C116)),ISNUMBER(SEARCH("ZEPTO",C116)),ISNUMBER(SEARCH("RECHARGE",C116)),ISNUMBER(SEARCH("JIO",C116)),ISNUMBER(SEARCH("AIRTEL",C116)),ISNUMBER(SEARCH("PHARMACY",C116)),ISNUMBER(SEARCH("APOLLO",C116)),ISNUMBER(SEARCH("ESSENTIALS",C116)),ISNUMBER(SEARCH("LIFESTYLE",C116))),"Lifestyle &amp; Personal Essentials",IF(OR(ISNUMBER(SEARCH("EMERGENCY",C116)),ISNUMBER(SEARCH("SWEEP",C116)),ISNUMBER(SEARCH("RESERVE",C116))),"Emergency Fund Allocation","Unallocated Flex Buffer")))))))))</f>
        <v/>
      </c>
      <c r="J116" s="39" t="inlineStr"/>
      <c r="K116" s="23">
        <f>IF(C116="","",IF(J116&lt;&gt;"",J116,I116))</f>
        <v/>
      </c>
      <c r="L116" s="40">
        <f>IF(A116="","",IF(ISNUMBER(A116),TEXT(A116,"mmm-yyyy"),"Oct-2026"))</f>
        <v/>
      </c>
      <c r="M116" s="40">
        <f>IF(D116&gt;=5000,"🚨 High Value Debit (₹"&amp;TEXT(D116,"#,##0")&amp;")",IF(D116&gt;=1000,"⚡ Notable Expense","—"))</f>
        <v/>
      </c>
    </row>
    <row r="117">
      <c r="A117" s="39" t="inlineStr"/>
      <c r="B117" s="39" t="inlineStr"/>
      <c r="C117" s="39" t="inlineStr"/>
      <c r="D117" s="41" t="inlineStr"/>
      <c r="E117" s="41" t="inlineStr"/>
      <c r="F117" s="41" t="inlineStr"/>
      <c r="G117" s="39" t="inlineStr"/>
      <c r="H117" s="26">
        <f>IF(C117="","",IF(E117&gt;0,"INCOME",IF(D117&gt;0,"EXPENSE","NEUTRAL")))</f>
        <v/>
      </c>
      <c r="I117" s="39">
        <f>IF(C117="","",=IF(OR(ISNUMBER(SEARCH("STIPEND",C117)),ISNUMBER(SEARCH("SIGMASOFT",C117)),ISNUMBER(SEARCH("SALARY",C117))),"Internship Stipend",IF(OR(ISNUMBER(SEARCH("FAMILY",C117)),ISNUMBER(SEARCH("PAPA",C117)),ISNUMBER(SEARCH("MOM",C117)),ISNUMBER(SEARCH("FATHER",C117))),"Family Support",IF(OR(ISNUMBER(SEARCH("PG",C117)),ISNUMBER(SEARCH("RENT",C117)),ISNUMBER(SEARCH("STANZA",C117)),ISNUMBER(SEARCH("ZOLO",C117))),"PG Rent &amp; Covered Meals",IF(OR(ISNUMBER(SEARCH("GROWW",C117)),ISNUMBER(SEARCH("ZERODHA",C117)),ISNUMBER(SEARCH("MUTUAL",C117)),ISNUMBER(SEARCH("SIP",C117)),ISNUMBER(SEARCH("NIPPON",C117))),"Monthly SIP Investment",IF(OR(ISNUMBER(SEARCH("BMTC",C117)),ISNUMBER(SEARCH("BUS",C117)),ISNUMBER(SEARCH("METRO",C117)),ISNUMBER(SEARCH("CHALO",C117))),"BMTC Bus Commute",IF(OR(ISNUMBER(SEARCH("SWIGGY",C117)),ISNUMBER(SEARCH("ZOMATO",C117)),ISNUMBER(SEARCH("CANTEEN",C117)),ISNUMBER(SEARCH("LUNCH",C117)),ISNUMBER(SEARCH("FOOD",C117)),ISNUMBER(SEARCH("SUBWAY",C117))),"Daily Office Lunch (Mon–Sat)",IF(OR(ISNUMBER(SEARCH("BLINKIT",C117)),ISNUMBER(SEARCH("ZEPTO",C117)),ISNUMBER(SEARCH("RECHARGE",C117)),ISNUMBER(SEARCH("JIO",C117)),ISNUMBER(SEARCH("AIRTEL",C117)),ISNUMBER(SEARCH("PHARMACY",C117)),ISNUMBER(SEARCH("APOLLO",C117)),ISNUMBER(SEARCH("ESSENTIALS",C117)),ISNUMBER(SEARCH("LIFESTYLE",C117))),"Lifestyle &amp; Personal Essentials",IF(OR(ISNUMBER(SEARCH("EMERGENCY",C117)),ISNUMBER(SEARCH("SWEEP",C117)),ISNUMBER(SEARCH("RESERVE",C117))),"Emergency Fund Allocation","Unallocated Flex Buffer")))))))))</f>
        <v/>
      </c>
      <c r="J117" s="39" t="inlineStr"/>
      <c r="K117" s="23">
        <f>IF(C117="","",IF(J117&lt;&gt;"",J117,I117))</f>
        <v/>
      </c>
      <c r="L117" s="40">
        <f>IF(A117="","",IF(ISNUMBER(A117),TEXT(A117,"mmm-yyyy"),"Oct-2026"))</f>
        <v/>
      </c>
      <c r="M117" s="40">
        <f>IF(D117&gt;=5000,"🚨 High Value Debit (₹"&amp;TEXT(D117,"#,##0")&amp;")",IF(D117&gt;=1000,"⚡ Notable Expense","—"))</f>
        <v/>
      </c>
    </row>
    <row r="118">
      <c r="A118" s="39" t="inlineStr"/>
      <c r="B118" s="39" t="inlineStr"/>
      <c r="C118" s="39" t="inlineStr"/>
      <c r="D118" s="41" t="inlineStr"/>
      <c r="E118" s="41" t="inlineStr"/>
      <c r="F118" s="41" t="inlineStr"/>
      <c r="G118" s="39" t="inlineStr"/>
      <c r="H118" s="26">
        <f>IF(C118="","",IF(E118&gt;0,"INCOME",IF(D118&gt;0,"EXPENSE","NEUTRAL")))</f>
        <v/>
      </c>
      <c r="I118" s="39">
        <f>IF(C118="","",=IF(OR(ISNUMBER(SEARCH("STIPEND",C118)),ISNUMBER(SEARCH("SIGMASOFT",C118)),ISNUMBER(SEARCH("SALARY",C118))),"Internship Stipend",IF(OR(ISNUMBER(SEARCH("FAMILY",C118)),ISNUMBER(SEARCH("PAPA",C118)),ISNUMBER(SEARCH("MOM",C118)),ISNUMBER(SEARCH("FATHER",C118))),"Family Support",IF(OR(ISNUMBER(SEARCH("PG",C118)),ISNUMBER(SEARCH("RENT",C118)),ISNUMBER(SEARCH("STANZA",C118)),ISNUMBER(SEARCH("ZOLO",C118))),"PG Rent &amp; Covered Meals",IF(OR(ISNUMBER(SEARCH("GROWW",C118)),ISNUMBER(SEARCH("ZERODHA",C118)),ISNUMBER(SEARCH("MUTUAL",C118)),ISNUMBER(SEARCH("SIP",C118)),ISNUMBER(SEARCH("NIPPON",C118))),"Monthly SIP Investment",IF(OR(ISNUMBER(SEARCH("BMTC",C118)),ISNUMBER(SEARCH("BUS",C118)),ISNUMBER(SEARCH("METRO",C118)),ISNUMBER(SEARCH("CHALO",C118))),"BMTC Bus Commute",IF(OR(ISNUMBER(SEARCH("SWIGGY",C118)),ISNUMBER(SEARCH("ZOMATO",C118)),ISNUMBER(SEARCH("CANTEEN",C118)),ISNUMBER(SEARCH("LUNCH",C118)),ISNUMBER(SEARCH("FOOD",C118)),ISNUMBER(SEARCH("SUBWAY",C118))),"Daily Office Lunch (Mon–Sat)",IF(OR(ISNUMBER(SEARCH("BLINKIT",C118)),ISNUMBER(SEARCH("ZEPTO",C118)),ISNUMBER(SEARCH("RECHARGE",C118)),ISNUMBER(SEARCH("JIO",C118)),ISNUMBER(SEARCH("AIRTEL",C118)),ISNUMBER(SEARCH("PHARMACY",C118)),ISNUMBER(SEARCH("APOLLO",C118)),ISNUMBER(SEARCH("ESSENTIALS",C118)),ISNUMBER(SEARCH("LIFESTYLE",C118))),"Lifestyle &amp; Personal Essentials",IF(OR(ISNUMBER(SEARCH("EMERGENCY",C118)),ISNUMBER(SEARCH("SWEEP",C118)),ISNUMBER(SEARCH("RESERVE",C118))),"Emergency Fund Allocation","Unallocated Flex Buffer")))))))))</f>
        <v/>
      </c>
      <c r="J118" s="39" t="inlineStr"/>
      <c r="K118" s="23">
        <f>IF(C118="","",IF(J118&lt;&gt;"",J118,I118))</f>
        <v/>
      </c>
      <c r="L118" s="40">
        <f>IF(A118="","",IF(ISNUMBER(A118),TEXT(A118,"mmm-yyyy"),"Oct-2026"))</f>
        <v/>
      </c>
      <c r="M118" s="40">
        <f>IF(D118&gt;=5000,"🚨 High Value Debit (₹"&amp;TEXT(D118,"#,##0")&amp;")",IF(D118&gt;=1000,"⚡ Notable Expense","—"))</f>
        <v/>
      </c>
    </row>
    <row r="119">
      <c r="A119" s="39" t="inlineStr"/>
      <c r="B119" s="39" t="inlineStr"/>
      <c r="C119" s="39" t="inlineStr"/>
      <c r="D119" s="41" t="inlineStr"/>
      <c r="E119" s="41" t="inlineStr"/>
      <c r="F119" s="41" t="inlineStr"/>
      <c r="G119" s="39" t="inlineStr"/>
      <c r="H119" s="26">
        <f>IF(C119="","",IF(E119&gt;0,"INCOME",IF(D119&gt;0,"EXPENSE","NEUTRAL")))</f>
        <v/>
      </c>
      <c r="I119" s="39">
        <f>IF(C119="","",=IF(OR(ISNUMBER(SEARCH("STIPEND",C119)),ISNUMBER(SEARCH("SIGMASOFT",C119)),ISNUMBER(SEARCH("SALARY",C119))),"Internship Stipend",IF(OR(ISNUMBER(SEARCH("FAMILY",C119)),ISNUMBER(SEARCH("PAPA",C119)),ISNUMBER(SEARCH("MOM",C119)),ISNUMBER(SEARCH("FATHER",C119))),"Family Support",IF(OR(ISNUMBER(SEARCH("PG",C119)),ISNUMBER(SEARCH("RENT",C119)),ISNUMBER(SEARCH("STANZA",C119)),ISNUMBER(SEARCH("ZOLO",C119))),"PG Rent &amp; Covered Meals",IF(OR(ISNUMBER(SEARCH("GROWW",C119)),ISNUMBER(SEARCH("ZERODHA",C119)),ISNUMBER(SEARCH("MUTUAL",C119)),ISNUMBER(SEARCH("SIP",C119)),ISNUMBER(SEARCH("NIPPON",C119))),"Monthly SIP Investment",IF(OR(ISNUMBER(SEARCH("BMTC",C119)),ISNUMBER(SEARCH("BUS",C119)),ISNUMBER(SEARCH("METRO",C119)),ISNUMBER(SEARCH("CHALO",C119))),"BMTC Bus Commute",IF(OR(ISNUMBER(SEARCH("SWIGGY",C119)),ISNUMBER(SEARCH("ZOMATO",C119)),ISNUMBER(SEARCH("CANTEEN",C119)),ISNUMBER(SEARCH("LUNCH",C119)),ISNUMBER(SEARCH("FOOD",C119)),ISNUMBER(SEARCH("SUBWAY",C119))),"Daily Office Lunch (Mon–Sat)",IF(OR(ISNUMBER(SEARCH("BLINKIT",C119)),ISNUMBER(SEARCH("ZEPTO",C119)),ISNUMBER(SEARCH("RECHARGE",C119)),ISNUMBER(SEARCH("JIO",C119)),ISNUMBER(SEARCH("AIRTEL",C119)),ISNUMBER(SEARCH("PHARMACY",C119)),ISNUMBER(SEARCH("APOLLO",C119)),ISNUMBER(SEARCH("ESSENTIALS",C119)),ISNUMBER(SEARCH("LIFESTYLE",C119))),"Lifestyle &amp; Personal Essentials",IF(OR(ISNUMBER(SEARCH("EMERGENCY",C119)),ISNUMBER(SEARCH("SWEEP",C119)),ISNUMBER(SEARCH("RESERVE",C119))),"Emergency Fund Allocation","Unallocated Flex Buffer")))))))))</f>
        <v/>
      </c>
      <c r="J119" s="39" t="inlineStr"/>
      <c r="K119" s="23">
        <f>IF(C119="","",IF(J119&lt;&gt;"",J119,I119))</f>
        <v/>
      </c>
      <c r="L119" s="40">
        <f>IF(A119="","",IF(ISNUMBER(A119),TEXT(A119,"mmm-yyyy"),"Oct-2026"))</f>
        <v/>
      </c>
      <c r="M119" s="40">
        <f>IF(D119&gt;=5000,"🚨 High Value Debit (₹"&amp;TEXT(D119,"#,##0")&amp;")",IF(D119&gt;=1000,"⚡ Notable Expense","—"))</f>
        <v/>
      </c>
    </row>
    <row r="120">
      <c r="A120" s="39" t="inlineStr"/>
      <c r="B120" s="39" t="inlineStr"/>
      <c r="C120" s="39" t="inlineStr"/>
      <c r="D120" s="41" t="inlineStr"/>
      <c r="E120" s="41" t="inlineStr"/>
      <c r="F120" s="41" t="inlineStr"/>
      <c r="G120" s="39" t="inlineStr"/>
      <c r="H120" s="26">
        <f>IF(C120="","",IF(E120&gt;0,"INCOME",IF(D120&gt;0,"EXPENSE","NEUTRAL")))</f>
        <v/>
      </c>
      <c r="I120" s="39">
        <f>IF(C120="","",=IF(OR(ISNUMBER(SEARCH("STIPEND",C120)),ISNUMBER(SEARCH("SIGMASOFT",C120)),ISNUMBER(SEARCH("SALARY",C120))),"Internship Stipend",IF(OR(ISNUMBER(SEARCH("FAMILY",C120)),ISNUMBER(SEARCH("PAPA",C120)),ISNUMBER(SEARCH("MOM",C120)),ISNUMBER(SEARCH("FATHER",C120))),"Family Support",IF(OR(ISNUMBER(SEARCH("PG",C120)),ISNUMBER(SEARCH("RENT",C120)),ISNUMBER(SEARCH("STANZA",C120)),ISNUMBER(SEARCH("ZOLO",C120))),"PG Rent &amp; Covered Meals",IF(OR(ISNUMBER(SEARCH("GROWW",C120)),ISNUMBER(SEARCH("ZERODHA",C120)),ISNUMBER(SEARCH("MUTUAL",C120)),ISNUMBER(SEARCH("SIP",C120)),ISNUMBER(SEARCH("NIPPON",C120))),"Monthly SIP Investment",IF(OR(ISNUMBER(SEARCH("BMTC",C120)),ISNUMBER(SEARCH("BUS",C120)),ISNUMBER(SEARCH("METRO",C120)),ISNUMBER(SEARCH("CHALO",C120))),"BMTC Bus Commute",IF(OR(ISNUMBER(SEARCH("SWIGGY",C120)),ISNUMBER(SEARCH("ZOMATO",C120)),ISNUMBER(SEARCH("CANTEEN",C120)),ISNUMBER(SEARCH("LUNCH",C120)),ISNUMBER(SEARCH("FOOD",C120)),ISNUMBER(SEARCH("SUBWAY",C120))),"Daily Office Lunch (Mon–Sat)",IF(OR(ISNUMBER(SEARCH("BLINKIT",C120)),ISNUMBER(SEARCH("ZEPTO",C120)),ISNUMBER(SEARCH("RECHARGE",C120)),ISNUMBER(SEARCH("JIO",C120)),ISNUMBER(SEARCH("AIRTEL",C120)),ISNUMBER(SEARCH("PHARMACY",C120)),ISNUMBER(SEARCH("APOLLO",C120)),ISNUMBER(SEARCH("ESSENTIALS",C120)),ISNUMBER(SEARCH("LIFESTYLE",C120))),"Lifestyle &amp; Personal Essentials",IF(OR(ISNUMBER(SEARCH("EMERGENCY",C120)),ISNUMBER(SEARCH("SWEEP",C120)),ISNUMBER(SEARCH("RESERVE",C120))),"Emergency Fund Allocation","Unallocated Flex Buffer")))))))))</f>
        <v/>
      </c>
      <c r="J120" s="39" t="inlineStr"/>
      <c r="K120" s="23">
        <f>IF(C120="","",IF(J120&lt;&gt;"",J120,I120))</f>
        <v/>
      </c>
      <c r="L120" s="40">
        <f>IF(A120="","",IF(ISNUMBER(A120),TEXT(A120,"mmm-yyyy"),"Oct-2026"))</f>
        <v/>
      </c>
      <c r="M120" s="40">
        <f>IF(D120&gt;=5000,"🚨 High Value Debit (₹"&amp;TEXT(D120,"#,##0")&amp;")",IF(D120&gt;=1000,"⚡ Notable Expense","—"))</f>
        <v/>
      </c>
    </row>
    <row r="121">
      <c r="A121" s="39" t="inlineStr"/>
      <c r="B121" s="39" t="inlineStr"/>
      <c r="C121" s="39" t="inlineStr"/>
      <c r="D121" s="41" t="inlineStr"/>
      <c r="E121" s="41" t="inlineStr"/>
      <c r="F121" s="41" t="inlineStr"/>
      <c r="G121" s="39" t="inlineStr"/>
      <c r="H121" s="26">
        <f>IF(C121="","",IF(E121&gt;0,"INCOME",IF(D121&gt;0,"EXPENSE","NEUTRAL")))</f>
        <v/>
      </c>
      <c r="I121" s="39">
        <f>IF(C121="","",=IF(OR(ISNUMBER(SEARCH("STIPEND",C121)),ISNUMBER(SEARCH("SIGMASOFT",C121)),ISNUMBER(SEARCH("SALARY",C121))),"Internship Stipend",IF(OR(ISNUMBER(SEARCH("FAMILY",C121)),ISNUMBER(SEARCH("PAPA",C121)),ISNUMBER(SEARCH("MOM",C121)),ISNUMBER(SEARCH("FATHER",C121))),"Family Support",IF(OR(ISNUMBER(SEARCH("PG",C121)),ISNUMBER(SEARCH("RENT",C121)),ISNUMBER(SEARCH("STANZA",C121)),ISNUMBER(SEARCH("ZOLO",C121))),"PG Rent &amp; Covered Meals",IF(OR(ISNUMBER(SEARCH("GROWW",C121)),ISNUMBER(SEARCH("ZERODHA",C121)),ISNUMBER(SEARCH("MUTUAL",C121)),ISNUMBER(SEARCH("SIP",C121)),ISNUMBER(SEARCH("NIPPON",C121))),"Monthly SIP Investment",IF(OR(ISNUMBER(SEARCH("BMTC",C121)),ISNUMBER(SEARCH("BUS",C121)),ISNUMBER(SEARCH("METRO",C121)),ISNUMBER(SEARCH("CHALO",C121))),"BMTC Bus Commute",IF(OR(ISNUMBER(SEARCH("SWIGGY",C121)),ISNUMBER(SEARCH("ZOMATO",C121)),ISNUMBER(SEARCH("CANTEEN",C121)),ISNUMBER(SEARCH("LUNCH",C121)),ISNUMBER(SEARCH("FOOD",C121)),ISNUMBER(SEARCH("SUBWAY",C121))),"Daily Office Lunch (Mon–Sat)",IF(OR(ISNUMBER(SEARCH("BLINKIT",C121)),ISNUMBER(SEARCH("ZEPTO",C121)),ISNUMBER(SEARCH("RECHARGE",C121)),ISNUMBER(SEARCH("JIO",C121)),ISNUMBER(SEARCH("AIRTEL",C121)),ISNUMBER(SEARCH("PHARMACY",C121)),ISNUMBER(SEARCH("APOLLO",C121)),ISNUMBER(SEARCH("ESSENTIALS",C121)),ISNUMBER(SEARCH("LIFESTYLE",C121))),"Lifestyle &amp; Personal Essentials",IF(OR(ISNUMBER(SEARCH("EMERGENCY",C121)),ISNUMBER(SEARCH("SWEEP",C121)),ISNUMBER(SEARCH("RESERVE",C121))),"Emergency Fund Allocation","Unallocated Flex Buffer")))))))))</f>
        <v/>
      </c>
      <c r="J121" s="39" t="inlineStr"/>
      <c r="K121" s="23">
        <f>IF(C121="","",IF(J121&lt;&gt;"",J121,I121))</f>
        <v/>
      </c>
      <c r="L121" s="40">
        <f>IF(A121="","",IF(ISNUMBER(A121),TEXT(A121,"mmm-yyyy"),"Oct-2026"))</f>
        <v/>
      </c>
      <c r="M121" s="40">
        <f>IF(D121&gt;=5000,"🚨 High Value Debit (₹"&amp;TEXT(D121,"#,##0")&amp;")",IF(D121&gt;=1000,"⚡ Notable Expense","—"))</f>
        <v/>
      </c>
    </row>
    <row r="122">
      <c r="A122" s="39" t="inlineStr"/>
      <c r="B122" s="39" t="inlineStr"/>
      <c r="C122" s="39" t="inlineStr"/>
      <c r="D122" s="41" t="inlineStr"/>
      <c r="E122" s="41" t="inlineStr"/>
      <c r="F122" s="41" t="inlineStr"/>
      <c r="G122" s="39" t="inlineStr"/>
      <c r="H122" s="26">
        <f>IF(C122="","",IF(E122&gt;0,"INCOME",IF(D122&gt;0,"EXPENSE","NEUTRAL")))</f>
        <v/>
      </c>
      <c r="I122" s="39">
        <f>IF(C122="","",=IF(OR(ISNUMBER(SEARCH("STIPEND",C122)),ISNUMBER(SEARCH("SIGMASOFT",C122)),ISNUMBER(SEARCH("SALARY",C122))),"Internship Stipend",IF(OR(ISNUMBER(SEARCH("FAMILY",C122)),ISNUMBER(SEARCH("PAPA",C122)),ISNUMBER(SEARCH("MOM",C122)),ISNUMBER(SEARCH("FATHER",C122))),"Family Support",IF(OR(ISNUMBER(SEARCH("PG",C122)),ISNUMBER(SEARCH("RENT",C122)),ISNUMBER(SEARCH("STANZA",C122)),ISNUMBER(SEARCH("ZOLO",C122))),"PG Rent &amp; Covered Meals",IF(OR(ISNUMBER(SEARCH("GROWW",C122)),ISNUMBER(SEARCH("ZERODHA",C122)),ISNUMBER(SEARCH("MUTUAL",C122)),ISNUMBER(SEARCH("SIP",C122)),ISNUMBER(SEARCH("NIPPON",C122))),"Monthly SIP Investment",IF(OR(ISNUMBER(SEARCH("BMTC",C122)),ISNUMBER(SEARCH("BUS",C122)),ISNUMBER(SEARCH("METRO",C122)),ISNUMBER(SEARCH("CHALO",C122))),"BMTC Bus Commute",IF(OR(ISNUMBER(SEARCH("SWIGGY",C122)),ISNUMBER(SEARCH("ZOMATO",C122)),ISNUMBER(SEARCH("CANTEEN",C122)),ISNUMBER(SEARCH("LUNCH",C122)),ISNUMBER(SEARCH("FOOD",C122)),ISNUMBER(SEARCH("SUBWAY",C122))),"Daily Office Lunch (Mon–Sat)",IF(OR(ISNUMBER(SEARCH("BLINKIT",C122)),ISNUMBER(SEARCH("ZEPTO",C122)),ISNUMBER(SEARCH("RECHARGE",C122)),ISNUMBER(SEARCH("JIO",C122)),ISNUMBER(SEARCH("AIRTEL",C122)),ISNUMBER(SEARCH("PHARMACY",C122)),ISNUMBER(SEARCH("APOLLO",C122)),ISNUMBER(SEARCH("ESSENTIALS",C122)),ISNUMBER(SEARCH("LIFESTYLE",C122))),"Lifestyle &amp; Personal Essentials",IF(OR(ISNUMBER(SEARCH("EMERGENCY",C122)),ISNUMBER(SEARCH("SWEEP",C122)),ISNUMBER(SEARCH("RESERVE",C122))),"Emergency Fund Allocation","Unallocated Flex Buffer")))))))))</f>
        <v/>
      </c>
      <c r="J122" s="39" t="inlineStr"/>
      <c r="K122" s="23">
        <f>IF(C122="","",IF(J122&lt;&gt;"",J122,I122))</f>
        <v/>
      </c>
      <c r="L122" s="40">
        <f>IF(A122="","",IF(ISNUMBER(A122),TEXT(A122,"mmm-yyyy"),"Oct-2026"))</f>
        <v/>
      </c>
      <c r="M122" s="40">
        <f>IF(D122&gt;=5000,"🚨 High Value Debit (₹"&amp;TEXT(D122,"#,##0")&amp;")",IF(D122&gt;=1000,"⚡ Notable Expense","—"))</f>
        <v/>
      </c>
    </row>
    <row r="123">
      <c r="A123" s="39" t="inlineStr"/>
      <c r="B123" s="39" t="inlineStr"/>
      <c r="C123" s="39" t="inlineStr"/>
      <c r="D123" s="41" t="inlineStr"/>
      <c r="E123" s="41" t="inlineStr"/>
      <c r="F123" s="41" t="inlineStr"/>
      <c r="G123" s="39" t="inlineStr"/>
      <c r="H123" s="26">
        <f>IF(C123="","",IF(E123&gt;0,"INCOME",IF(D123&gt;0,"EXPENSE","NEUTRAL")))</f>
        <v/>
      </c>
      <c r="I123" s="39">
        <f>IF(C123="","",=IF(OR(ISNUMBER(SEARCH("STIPEND",C123)),ISNUMBER(SEARCH("SIGMASOFT",C123)),ISNUMBER(SEARCH("SALARY",C123))),"Internship Stipend",IF(OR(ISNUMBER(SEARCH("FAMILY",C123)),ISNUMBER(SEARCH("PAPA",C123)),ISNUMBER(SEARCH("MOM",C123)),ISNUMBER(SEARCH("FATHER",C123))),"Family Support",IF(OR(ISNUMBER(SEARCH("PG",C123)),ISNUMBER(SEARCH("RENT",C123)),ISNUMBER(SEARCH("STANZA",C123)),ISNUMBER(SEARCH("ZOLO",C123))),"PG Rent &amp; Covered Meals",IF(OR(ISNUMBER(SEARCH("GROWW",C123)),ISNUMBER(SEARCH("ZERODHA",C123)),ISNUMBER(SEARCH("MUTUAL",C123)),ISNUMBER(SEARCH("SIP",C123)),ISNUMBER(SEARCH("NIPPON",C123))),"Monthly SIP Investment",IF(OR(ISNUMBER(SEARCH("BMTC",C123)),ISNUMBER(SEARCH("BUS",C123)),ISNUMBER(SEARCH("METRO",C123)),ISNUMBER(SEARCH("CHALO",C123))),"BMTC Bus Commute",IF(OR(ISNUMBER(SEARCH("SWIGGY",C123)),ISNUMBER(SEARCH("ZOMATO",C123)),ISNUMBER(SEARCH("CANTEEN",C123)),ISNUMBER(SEARCH("LUNCH",C123)),ISNUMBER(SEARCH("FOOD",C123)),ISNUMBER(SEARCH("SUBWAY",C123))),"Daily Office Lunch (Mon–Sat)",IF(OR(ISNUMBER(SEARCH("BLINKIT",C123)),ISNUMBER(SEARCH("ZEPTO",C123)),ISNUMBER(SEARCH("RECHARGE",C123)),ISNUMBER(SEARCH("JIO",C123)),ISNUMBER(SEARCH("AIRTEL",C123)),ISNUMBER(SEARCH("PHARMACY",C123)),ISNUMBER(SEARCH("APOLLO",C123)),ISNUMBER(SEARCH("ESSENTIALS",C123)),ISNUMBER(SEARCH("LIFESTYLE",C123))),"Lifestyle &amp; Personal Essentials",IF(OR(ISNUMBER(SEARCH("EMERGENCY",C123)),ISNUMBER(SEARCH("SWEEP",C123)),ISNUMBER(SEARCH("RESERVE",C123))),"Emergency Fund Allocation","Unallocated Flex Buffer")))))))))</f>
        <v/>
      </c>
      <c r="J123" s="39" t="inlineStr"/>
      <c r="K123" s="23">
        <f>IF(C123="","",IF(J123&lt;&gt;"",J123,I123))</f>
        <v/>
      </c>
      <c r="L123" s="40">
        <f>IF(A123="","",IF(ISNUMBER(A123),TEXT(A123,"mmm-yyyy"),"Oct-2026"))</f>
        <v/>
      </c>
      <c r="M123" s="40">
        <f>IF(D123&gt;=5000,"🚨 High Value Debit (₹"&amp;TEXT(D123,"#,##0")&amp;")",IF(D123&gt;=1000,"⚡ Notable Expense","—"))</f>
        <v/>
      </c>
    </row>
    <row r="124">
      <c r="A124" s="39" t="inlineStr"/>
      <c r="B124" s="39" t="inlineStr"/>
      <c r="C124" s="39" t="inlineStr"/>
      <c r="D124" s="41" t="inlineStr"/>
      <c r="E124" s="41" t="inlineStr"/>
      <c r="F124" s="41" t="inlineStr"/>
      <c r="G124" s="39" t="inlineStr"/>
      <c r="H124" s="26">
        <f>IF(C124="","",IF(E124&gt;0,"INCOME",IF(D124&gt;0,"EXPENSE","NEUTRAL")))</f>
        <v/>
      </c>
      <c r="I124" s="39">
        <f>IF(C124="","",=IF(OR(ISNUMBER(SEARCH("STIPEND",C124)),ISNUMBER(SEARCH("SIGMASOFT",C124)),ISNUMBER(SEARCH("SALARY",C124))),"Internship Stipend",IF(OR(ISNUMBER(SEARCH("FAMILY",C124)),ISNUMBER(SEARCH("PAPA",C124)),ISNUMBER(SEARCH("MOM",C124)),ISNUMBER(SEARCH("FATHER",C124))),"Family Support",IF(OR(ISNUMBER(SEARCH("PG",C124)),ISNUMBER(SEARCH("RENT",C124)),ISNUMBER(SEARCH("STANZA",C124)),ISNUMBER(SEARCH("ZOLO",C124))),"PG Rent &amp; Covered Meals",IF(OR(ISNUMBER(SEARCH("GROWW",C124)),ISNUMBER(SEARCH("ZERODHA",C124)),ISNUMBER(SEARCH("MUTUAL",C124)),ISNUMBER(SEARCH("SIP",C124)),ISNUMBER(SEARCH("NIPPON",C124))),"Monthly SIP Investment",IF(OR(ISNUMBER(SEARCH("BMTC",C124)),ISNUMBER(SEARCH("BUS",C124)),ISNUMBER(SEARCH("METRO",C124)),ISNUMBER(SEARCH("CHALO",C124))),"BMTC Bus Commute",IF(OR(ISNUMBER(SEARCH("SWIGGY",C124)),ISNUMBER(SEARCH("ZOMATO",C124)),ISNUMBER(SEARCH("CANTEEN",C124)),ISNUMBER(SEARCH("LUNCH",C124)),ISNUMBER(SEARCH("FOOD",C124)),ISNUMBER(SEARCH("SUBWAY",C124))),"Daily Office Lunch (Mon–Sat)",IF(OR(ISNUMBER(SEARCH("BLINKIT",C124)),ISNUMBER(SEARCH("ZEPTO",C124)),ISNUMBER(SEARCH("RECHARGE",C124)),ISNUMBER(SEARCH("JIO",C124)),ISNUMBER(SEARCH("AIRTEL",C124)),ISNUMBER(SEARCH("PHARMACY",C124)),ISNUMBER(SEARCH("APOLLO",C124)),ISNUMBER(SEARCH("ESSENTIALS",C124)),ISNUMBER(SEARCH("LIFESTYLE",C124))),"Lifestyle &amp; Personal Essentials",IF(OR(ISNUMBER(SEARCH("EMERGENCY",C124)),ISNUMBER(SEARCH("SWEEP",C124)),ISNUMBER(SEARCH("RESERVE",C124))),"Emergency Fund Allocation","Unallocated Flex Buffer")))))))))</f>
        <v/>
      </c>
      <c r="J124" s="39" t="inlineStr"/>
      <c r="K124" s="23">
        <f>IF(C124="","",IF(J124&lt;&gt;"",J124,I124))</f>
        <v/>
      </c>
      <c r="L124" s="40">
        <f>IF(A124="","",IF(ISNUMBER(A124),TEXT(A124,"mmm-yyyy"),"Oct-2026"))</f>
        <v/>
      </c>
      <c r="M124" s="40">
        <f>IF(D124&gt;=5000,"🚨 High Value Debit (₹"&amp;TEXT(D124,"#,##0")&amp;")",IF(D124&gt;=1000,"⚡ Notable Expense","—"))</f>
        <v/>
      </c>
    </row>
    <row r="125">
      <c r="A125" s="39" t="inlineStr"/>
      <c r="B125" s="39" t="inlineStr"/>
      <c r="C125" s="39" t="inlineStr"/>
      <c r="D125" s="41" t="inlineStr"/>
      <c r="E125" s="41" t="inlineStr"/>
      <c r="F125" s="41" t="inlineStr"/>
      <c r="G125" s="39" t="inlineStr"/>
      <c r="H125" s="26">
        <f>IF(C125="","",IF(E125&gt;0,"INCOME",IF(D125&gt;0,"EXPENSE","NEUTRAL")))</f>
        <v/>
      </c>
      <c r="I125" s="39">
        <f>IF(C125="","",=IF(OR(ISNUMBER(SEARCH("STIPEND",C125)),ISNUMBER(SEARCH("SIGMASOFT",C125)),ISNUMBER(SEARCH("SALARY",C125))),"Internship Stipend",IF(OR(ISNUMBER(SEARCH("FAMILY",C125)),ISNUMBER(SEARCH("PAPA",C125)),ISNUMBER(SEARCH("MOM",C125)),ISNUMBER(SEARCH("FATHER",C125))),"Family Support",IF(OR(ISNUMBER(SEARCH("PG",C125)),ISNUMBER(SEARCH("RENT",C125)),ISNUMBER(SEARCH("STANZA",C125)),ISNUMBER(SEARCH("ZOLO",C125))),"PG Rent &amp; Covered Meals",IF(OR(ISNUMBER(SEARCH("GROWW",C125)),ISNUMBER(SEARCH("ZERODHA",C125)),ISNUMBER(SEARCH("MUTUAL",C125)),ISNUMBER(SEARCH("SIP",C125)),ISNUMBER(SEARCH("NIPPON",C125))),"Monthly SIP Investment",IF(OR(ISNUMBER(SEARCH("BMTC",C125)),ISNUMBER(SEARCH("BUS",C125)),ISNUMBER(SEARCH("METRO",C125)),ISNUMBER(SEARCH("CHALO",C125))),"BMTC Bus Commute",IF(OR(ISNUMBER(SEARCH("SWIGGY",C125)),ISNUMBER(SEARCH("ZOMATO",C125)),ISNUMBER(SEARCH("CANTEEN",C125)),ISNUMBER(SEARCH("LUNCH",C125)),ISNUMBER(SEARCH("FOOD",C125)),ISNUMBER(SEARCH("SUBWAY",C125))),"Daily Office Lunch (Mon–Sat)",IF(OR(ISNUMBER(SEARCH("BLINKIT",C125)),ISNUMBER(SEARCH("ZEPTO",C125)),ISNUMBER(SEARCH("RECHARGE",C125)),ISNUMBER(SEARCH("JIO",C125)),ISNUMBER(SEARCH("AIRTEL",C125)),ISNUMBER(SEARCH("PHARMACY",C125)),ISNUMBER(SEARCH("APOLLO",C125)),ISNUMBER(SEARCH("ESSENTIALS",C125)),ISNUMBER(SEARCH("LIFESTYLE",C125))),"Lifestyle &amp; Personal Essentials",IF(OR(ISNUMBER(SEARCH("EMERGENCY",C125)),ISNUMBER(SEARCH("SWEEP",C125)),ISNUMBER(SEARCH("RESERVE",C125))),"Emergency Fund Allocation","Unallocated Flex Buffer")))))))))</f>
        <v/>
      </c>
      <c r="J125" s="39" t="inlineStr"/>
      <c r="K125" s="23">
        <f>IF(C125="","",IF(J125&lt;&gt;"",J125,I125))</f>
        <v/>
      </c>
      <c r="L125" s="40">
        <f>IF(A125="","",IF(ISNUMBER(A125),TEXT(A125,"mmm-yyyy"),"Oct-2026"))</f>
        <v/>
      </c>
      <c r="M125" s="40">
        <f>IF(D125&gt;=5000,"🚨 High Value Debit (₹"&amp;TEXT(D125,"#,##0")&amp;")",IF(D125&gt;=1000,"⚡ Notable Expense","—"))</f>
        <v/>
      </c>
    </row>
    <row r="126">
      <c r="A126" s="39" t="inlineStr"/>
      <c r="B126" s="39" t="inlineStr"/>
      <c r="C126" s="39" t="inlineStr"/>
      <c r="D126" s="41" t="inlineStr"/>
      <c r="E126" s="41" t="inlineStr"/>
      <c r="F126" s="41" t="inlineStr"/>
      <c r="G126" s="39" t="inlineStr"/>
      <c r="H126" s="26">
        <f>IF(C126="","",IF(E126&gt;0,"INCOME",IF(D126&gt;0,"EXPENSE","NEUTRAL")))</f>
        <v/>
      </c>
      <c r="I126" s="39">
        <f>IF(C126="","",=IF(OR(ISNUMBER(SEARCH("STIPEND",C126)),ISNUMBER(SEARCH("SIGMASOFT",C126)),ISNUMBER(SEARCH("SALARY",C126))),"Internship Stipend",IF(OR(ISNUMBER(SEARCH("FAMILY",C126)),ISNUMBER(SEARCH("PAPA",C126)),ISNUMBER(SEARCH("MOM",C126)),ISNUMBER(SEARCH("FATHER",C126))),"Family Support",IF(OR(ISNUMBER(SEARCH("PG",C126)),ISNUMBER(SEARCH("RENT",C126)),ISNUMBER(SEARCH("STANZA",C126)),ISNUMBER(SEARCH("ZOLO",C126))),"PG Rent &amp; Covered Meals",IF(OR(ISNUMBER(SEARCH("GROWW",C126)),ISNUMBER(SEARCH("ZERODHA",C126)),ISNUMBER(SEARCH("MUTUAL",C126)),ISNUMBER(SEARCH("SIP",C126)),ISNUMBER(SEARCH("NIPPON",C126))),"Monthly SIP Investment",IF(OR(ISNUMBER(SEARCH("BMTC",C126)),ISNUMBER(SEARCH("BUS",C126)),ISNUMBER(SEARCH("METRO",C126)),ISNUMBER(SEARCH("CHALO",C126))),"BMTC Bus Commute",IF(OR(ISNUMBER(SEARCH("SWIGGY",C126)),ISNUMBER(SEARCH("ZOMATO",C126)),ISNUMBER(SEARCH("CANTEEN",C126)),ISNUMBER(SEARCH("LUNCH",C126)),ISNUMBER(SEARCH("FOOD",C126)),ISNUMBER(SEARCH("SUBWAY",C126))),"Daily Office Lunch (Mon–Sat)",IF(OR(ISNUMBER(SEARCH("BLINKIT",C126)),ISNUMBER(SEARCH("ZEPTO",C126)),ISNUMBER(SEARCH("RECHARGE",C126)),ISNUMBER(SEARCH("JIO",C126)),ISNUMBER(SEARCH("AIRTEL",C126)),ISNUMBER(SEARCH("PHARMACY",C126)),ISNUMBER(SEARCH("APOLLO",C126)),ISNUMBER(SEARCH("ESSENTIALS",C126)),ISNUMBER(SEARCH("LIFESTYLE",C126))),"Lifestyle &amp; Personal Essentials",IF(OR(ISNUMBER(SEARCH("EMERGENCY",C126)),ISNUMBER(SEARCH("SWEEP",C126)),ISNUMBER(SEARCH("RESERVE",C126))),"Emergency Fund Allocation","Unallocated Flex Buffer")))))))))</f>
        <v/>
      </c>
      <c r="J126" s="39" t="inlineStr"/>
      <c r="K126" s="23">
        <f>IF(C126="","",IF(J126&lt;&gt;"",J126,I126))</f>
        <v/>
      </c>
      <c r="L126" s="40">
        <f>IF(A126="","",IF(ISNUMBER(A126),TEXT(A126,"mmm-yyyy"),"Oct-2026"))</f>
        <v/>
      </c>
      <c r="M126" s="40">
        <f>IF(D126&gt;=5000,"🚨 High Value Debit (₹"&amp;TEXT(D126,"#,##0")&amp;")",IF(D126&gt;=1000,"⚡ Notable Expense","—"))</f>
        <v/>
      </c>
    </row>
    <row r="127">
      <c r="A127" s="39" t="inlineStr"/>
      <c r="B127" s="39" t="inlineStr"/>
      <c r="C127" s="39" t="inlineStr"/>
      <c r="D127" s="41" t="inlineStr"/>
      <c r="E127" s="41" t="inlineStr"/>
      <c r="F127" s="41" t="inlineStr"/>
      <c r="G127" s="39" t="inlineStr"/>
      <c r="H127" s="26">
        <f>IF(C127="","",IF(E127&gt;0,"INCOME",IF(D127&gt;0,"EXPENSE","NEUTRAL")))</f>
        <v/>
      </c>
      <c r="I127" s="39">
        <f>IF(C127="","",=IF(OR(ISNUMBER(SEARCH("STIPEND",C127)),ISNUMBER(SEARCH("SIGMASOFT",C127)),ISNUMBER(SEARCH("SALARY",C127))),"Internship Stipend",IF(OR(ISNUMBER(SEARCH("FAMILY",C127)),ISNUMBER(SEARCH("PAPA",C127)),ISNUMBER(SEARCH("MOM",C127)),ISNUMBER(SEARCH("FATHER",C127))),"Family Support",IF(OR(ISNUMBER(SEARCH("PG",C127)),ISNUMBER(SEARCH("RENT",C127)),ISNUMBER(SEARCH("STANZA",C127)),ISNUMBER(SEARCH("ZOLO",C127))),"PG Rent &amp; Covered Meals",IF(OR(ISNUMBER(SEARCH("GROWW",C127)),ISNUMBER(SEARCH("ZERODHA",C127)),ISNUMBER(SEARCH("MUTUAL",C127)),ISNUMBER(SEARCH("SIP",C127)),ISNUMBER(SEARCH("NIPPON",C127))),"Monthly SIP Investment",IF(OR(ISNUMBER(SEARCH("BMTC",C127)),ISNUMBER(SEARCH("BUS",C127)),ISNUMBER(SEARCH("METRO",C127)),ISNUMBER(SEARCH("CHALO",C127))),"BMTC Bus Commute",IF(OR(ISNUMBER(SEARCH("SWIGGY",C127)),ISNUMBER(SEARCH("ZOMATO",C127)),ISNUMBER(SEARCH("CANTEEN",C127)),ISNUMBER(SEARCH("LUNCH",C127)),ISNUMBER(SEARCH("FOOD",C127)),ISNUMBER(SEARCH("SUBWAY",C127))),"Daily Office Lunch (Mon–Sat)",IF(OR(ISNUMBER(SEARCH("BLINKIT",C127)),ISNUMBER(SEARCH("ZEPTO",C127)),ISNUMBER(SEARCH("RECHARGE",C127)),ISNUMBER(SEARCH("JIO",C127)),ISNUMBER(SEARCH("AIRTEL",C127)),ISNUMBER(SEARCH("PHARMACY",C127)),ISNUMBER(SEARCH("APOLLO",C127)),ISNUMBER(SEARCH("ESSENTIALS",C127)),ISNUMBER(SEARCH("LIFESTYLE",C127))),"Lifestyle &amp; Personal Essentials",IF(OR(ISNUMBER(SEARCH("EMERGENCY",C127)),ISNUMBER(SEARCH("SWEEP",C127)),ISNUMBER(SEARCH("RESERVE",C127))),"Emergency Fund Allocation","Unallocated Flex Buffer")))))))))</f>
        <v/>
      </c>
      <c r="J127" s="39" t="inlineStr"/>
      <c r="K127" s="23">
        <f>IF(C127="","",IF(J127&lt;&gt;"",J127,I127))</f>
        <v/>
      </c>
      <c r="L127" s="40">
        <f>IF(A127="","",IF(ISNUMBER(A127),TEXT(A127,"mmm-yyyy"),"Oct-2026"))</f>
        <v/>
      </c>
      <c r="M127" s="40">
        <f>IF(D127&gt;=5000,"🚨 High Value Debit (₹"&amp;TEXT(D127,"#,##0")&amp;")",IF(D127&gt;=1000,"⚡ Notable Expense","—"))</f>
        <v/>
      </c>
    </row>
    <row r="128">
      <c r="A128" s="39" t="inlineStr"/>
      <c r="B128" s="39" t="inlineStr"/>
      <c r="C128" s="39" t="inlineStr"/>
      <c r="D128" s="41" t="inlineStr"/>
      <c r="E128" s="41" t="inlineStr"/>
      <c r="F128" s="41" t="inlineStr"/>
      <c r="G128" s="39" t="inlineStr"/>
      <c r="H128" s="26">
        <f>IF(C128="","",IF(E128&gt;0,"INCOME",IF(D128&gt;0,"EXPENSE","NEUTRAL")))</f>
        <v/>
      </c>
      <c r="I128" s="39">
        <f>IF(C128="","",=IF(OR(ISNUMBER(SEARCH("STIPEND",C128)),ISNUMBER(SEARCH("SIGMASOFT",C128)),ISNUMBER(SEARCH("SALARY",C128))),"Internship Stipend",IF(OR(ISNUMBER(SEARCH("FAMILY",C128)),ISNUMBER(SEARCH("PAPA",C128)),ISNUMBER(SEARCH("MOM",C128)),ISNUMBER(SEARCH("FATHER",C128))),"Family Support",IF(OR(ISNUMBER(SEARCH("PG",C128)),ISNUMBER(SEARCH("RENT",C128)),ISNUMBER(SEARCH("STANZA",C128)),ISNUMBER(SEARCH("ZOLO",C128))),"PG Rent &amp; Covered Meals",IF(OR(ISNUMBER(SEARCH("GROWW",C128)),ISNUMBER(SEARCH("ZERODHA",C128)),ISNUMBER(SEARCH("MUTUAL",C128)),ISNUMBER(SEARCH("SIP",C128)),ISNUMBER(SEARCH("NIPPON",C128))),"Monthly SIP Investment",IF(OR(ISNUMBER(SEARCH("BMTC",C128)),ISNUMBER(SEARCH("BUS",C128)),ISNUMBER(SEARCH("METRO",C128)),ISNUMBER(SEARCH("CHALO",C128))),"BMTC Bus Commute",IF(OR(ISNUMBER(SEARCH("SWIGGY",C128)),ISNUMBER(SEARCH("ZOMATO",C128)),ISNUMBER(SEARCH("CANTEEN",C128)),ISNUMBER(SEARCH("LUNCH",C128)),ISNUMBER(SEARCH("FOOD",C128)),ISNUMBER(SEARCH("SUBWAY",C128))),"Daily Office Lunch (Mon–Sat)",IF(OR(ISNUMBER(SEARCH("BLINKIT",C128)),ISNUMBER(SEARCH("ZEPTO",C128)),ISNUMBER(SEARCH("RECHARGE",C128)),ISNUMBER(SEARCH("JIO",C128)),ISNUMBER(SEARCH("AIRTEL",C128)),ISNUMBER(SEARCH("PHARMACY",C128)),ISNUMBER(SEARCH("APOLLO",C128)),ISNUMBER(SEARCH("ESSENTIALS",C128)),ISNUMBER(SEARCH("LIFESTYLE",C128))),"Lifestyle &amp; Personal Essentials",IF(OR(ISNUMBER(SEARCH("EMERGENCY",C128)),ISNUMBER(SEARCH("SWEEP",C128)),ISNUMBER(SEARCH("RESERVE",C128))),"Emergency Fund Allocation","Unallocated Flex Buffer")))))))))</f>
        <v/>
      </c>
      <c r="J128" s="39" t="inlineStr"/>
      <c r="K128" s="23">
        <f>IF(C128="","",IF(J128&lt;&gt;"",J128,I128))</f>
        <v/>
      </c>
      <c r="L128" s="40">
        <f>IF(A128="","",IF(ISNUMBER(A128),TEXT(A128,"mmm-yyyy"),"Oct-2026"))</f>
        <v/>
      </c>
      <c r="M128" s="40">
        <f>IF(D128&gt;=5000,"🚨 High Value Debit (₹"&amp;TEXT(D128,"#,##0")&amp;")",IF(D128&gt;=1000,"⚡ Notable Expense","—"))</f>
        <v/>
      </c>
    </row>
    <row r="129">
      <c r="A129" s="39" t="inlineStr"/>
      <c r="B129" s="39" t="inlineStr"/>
      <c r="C129" s="39" t="inlineStr"/>
      <c r="D129" s="41" t="inlineStr"/>
      <c r="E129" s="41" t="inlineStr"/>
      <c r="F129" s="41" t="inlineStr"/>
      <c r="G129" s="39" t="inlineStr"/>
      <c r="H129" s="26">
        <f>IF(C129="","",IF(E129&gt;0,"INCOME",IF(D129&gt;0,"EXPENSE","NEUTRAL")))</f>
        <v/>
      </c>
      <c r="I129" s="39">
        <f>IF(C129="","",=IF(OR(ISNUMBER(SEARCH("STIPEND",C129)),ISNUMBER(SEARCH("SIGMASOFT",C129)),ISNUMBER(SEARCH("SALARY",C129))),"Internship Stipend",IF(OR(ISNUMBER(SEARCH("FAMILY",C129)),ISNUMBER(SEARCH("PAPA",C129)),ISNUMBER(SEARCH("MOM",C129)),ISNUMBER(SEARCH("FATHER",C129))),"Family Support",IF(OR(ISNUMBER(SEARCH("PG",C129)),ISNUMBER(SEARCH("RENT",C129)),ISNUMBER(SEARCH("STANZA",C129)),ISNUMBER(SEARCH("ZOLO",C129))),"PG Rent &amp; Covered Meals",IF(OR(ISNUMBER(SEARCH("GROWW",C129)),ISNUMBER(SEARCH("ZERODHA",C129)),ISNUMBER(SEARCH("MUTUAL",C129)),ISNUMBER(SEARCH("SIP",C129)),ISNUMBER(SEARCH("NIPPON",C129))),"Monthly SIP Investment",IF(OR(ISNUMBER(SEARCH("BMTC",C129)),ISNUMBER(SEARCH("BUS",C129)),ISNUMBER(SEARCH("METRO",C129)),ISNUMBER(SEARCH("CHALO",C129))),"BMTC Bus Commute",IF(OR(ISNUMBER(SEARCH("SWIGGY",C129)),ISNUMBER(SEARCH("ZOMATO",C129)),ISNUMBER(SEARCH("CANTEEN",C129)),ISNUMBER(SEARCH("LUNCH",C129)),ISNUMBER(SEARCH("FOOD",C129)),ISNUMBER(SEARCH("SUBWAY",C129))),"Daily Office Lunch (Mon–Sat)",IF(OR(ISNUMBER(SEARCH("BLINKIT",C129)),ISNUMBER(SEARCH("ZEPTO",C129)),ISNUMBER(SEARCH("RECHARGE",C129)),ISNUMBER(SEARCH("JIO",C129)),ISNUMBER(SEARCH("AIRTEL",C129)),ISNUMBER(SEARCH("PHARMACY",C129)),ISNUMBER(SEARCH("APOLLO",C129)),ISNUMBER(SEARCH("ESSENTIALS",C129)),ISNUMBER(SEARCH("LIFESTYLE",C129))),"Lifestyle &amp; Personal Essentials",IF(OR(ISNUMBER(SEARCH("EMERGENCY",C129)),ISNUMBER(SEARCH("SWEEP",C129)),ISNUMBER(SEARCH("RESERVE",C129))),"Emergency Fund Allocation","Unallocated Flex Buffer")))))))))</f>
        <v/>
      </c>
      <c r="J129" s="39" t="inlineStr"/>
      <c r="K129" s="23">
        <f>IF(C129="","",IF(J129&lt;&gt;"",J129,I129))</f>
        <v/>
      </c>
      <c r="L129" s="40">
        <f>IF(A129="","",IF(ISNUMBER(A129),TEXT(A129,"mmm-yyyy"),"Oct-2026"))</f>
        <v/>
      </c>
      <c r="M129" s="40">
        <f>IF(D129&gt;=5000,"🚨 High Value Debit (₹"&amp;TEXT(D129,"#,##0")&amp;")",IF(D129&gt;=1000,"⚡ Notable Expense","—"))</f>
        <v/>
      </c>
    </row>
    <row r="130">
      <c r="A130" s="39" t="inlineStr"/>
      <c r="B130" s="39" t="inlineStr"/>
      <c r="C130" s="39" t="inlineStr"/>
      <c r="D130" s="41" t="inlineStr"/>
      <c r="E130" s="41" t="inlineStr"/>
      <c r="F130" s="41" t="inlineStr"/>
      <c r="G130" s="39" t="inlineStr"/>
      <c r="H130" s="26">
        <f>IF(C130="","",IF(E130&gt;0,"INCOME",IF(D130&gt;0,"EXPENSE","NEUTRAL")))</f>
        <v/>
      </c>
      <c r="I130" s="39">
        <f>IF(C130="","",=IF(OR(ISNUMBER(SEARCH("STIPEND",C130)),ISNUMBER(SEARCH("SIGMASOFT",C130)),ISNUMBER(SEARCH("SALARY",C130))),"Internship Stipend",IF(OR(ISNUMBER(SEARCH("FAMILY",C130)),ISNUMBER(SEARCH("PAPA",C130)),ISNUMBER(SEARCH("MOM",C130)),ISNUMBER(SEARCH("FATHER",C130))),"Family Support",IF(OR(ISNUMBER(SEARCH("PG",C130)),ISNUMBER(SEARCH("RENT",C130)),ISNUMBER(SEARCH("STANZA",C130)),ISNUMBER(SEARCH("ZOLO",C130))),"PG Rent &amp; Covered Meals",IF(OR(ISNUMBER(SEARCH("GROWW",C130)),ISNUMBER(SEARCH("ZERODHA",C130)),ISNUMBER(SEARCH("MUTUAL",C130)),ISNUMBER(SEARCH("SIP",C130)),ISNUMBER(SEARCH("NIPPON",C130))),"Monthly SIP Investment",IF(OR(ISNUMBER(SEARCH("BMTC",C130)),ISNUMBER(SEARCH("BUS",C130)),ISNUMBER(SEARCH("METRO",C130)),ISNUMBER(SEARCH("CHALO",C130))),"BMTC Bus Commute",IF(OR(ISNUMBER(SEARCH("SWIGGY",C130)),ISNUMBER(SEARCH("ZOMATO",C130)),ISNUMBER(SEARCH("CANTEEN",C130)),ISNUMBER(SEARCH("LUNCH",C130)),ISNUMBER(SEARCH("FOOD",C130)),ISNUMBER(SEARCH("SUBWAY",C130))),"Daily Office Lunch (Mon–Sat)",IF(OR(ISNUMBER(SEARCH("BLINKIT",C130)),ISNUMBER(SEARCH("ZEPTO",C130)),ISNUMBER(SEARCH("RECHARGE",C130)),ISNUMBER(SEARCH("JIO",C130)),ISNUMBER(SEARCH("AIRTEL",C130)),ISNUMBER(SEARCH("PHARMACY",C130)),ISNUMBER(SEARCH("APOLLO",C130)),ISNUMBER(SEARCH("ESSENTIALS",C130)),ISNUMBER(SEARCH("LIFESTYLE",C130))),"Lifestyle &amp; Personal Essentials",IF(OR(ISNUMBER(SEARCH("EMERGENCY",C130)),ISNUMBER(SEARCH("SWEEP",C130)),ISNUMBER(SEARCH("RESERVE",C130))),"Emergency Fund Allocation","Unallocated Flex Buffer")))))))))</f>
        <v/>
      </c>
      <c r="J130" s="39" t="inlineStr"/>
      <c r="K130" s="23">
        <f>IF(C130="","",IF(J130&lt;&gt;"",J130,I130))</f>
        <v/>
      </c>
      <c r="L130" s="40">
        <f>IF(A130="","",IF(ISNUMBER(A130),TEXT(A130,"mmm-yyyy"),"Oct-2026"))</f>
        <v/>
      </c>
      <c r="M130" s="40">
        <f>IF(D130&gt;=5000,"🚨 High Value Debit (₹"&amp;TEXT(D130,"#,##0")&amp;")",IF(D130&gt;=1000,"⚡ Notable Expense","—"))</f>
        <v/>
      </c>
    </row>
    <row r="131">
      <c r="A131" s="39" t="inlineStr"/>
      <c r="B131" s="39" t="inlineStr"/>
      <c r="C131" s="39" t="inlineStr"/>
      <c r="D131" s="41" t="inlineStr"/>
      <c r="E131" s="41" t="inlineStr"/>
      <c r="F131" s="41" t="inlineStr"/>
      <c r="G131" s="39" t="inlineStr"/>
      <c r="H131" s="26">
        <f>IF(C131="","",IF(E131&gt;0,"INCOME",IF(D131&gt;0,"EXPENSE","NEUTRAL")))</f>
        <v/>
      </c>
      <c r="I131" s="39">
        <f>IF(C131="","",=IF(OR(ISNUMBER(SEARCH("STIPEND",C131)),ISNUMBER(SEARCH("SIGMASOFT",C131)),ISNUMBER(SEARCH("SALARY",C131))),"Internship Stipend",IF(OR(ISNUMBER(SEARCH("FAMILY",C131)),ISNUMBER(SEARCH("PAPA",C131)),ISNUMBER(SEARCH("MOM",C131)),ISNUMBER(SEARCH("FATHER",C131))),"Family Support",IF(OR(ISNUMBER(SEARCH("PG",C131)),ISNUMBER(SEARCH("RENT",C131)),ISNUMBER(SEARCH("STANZA",C131)),ISNUMBER(SEARCH("ZOLO",C131))),"PG Rent &amp; Covered Meals",IF(OR(ISNUMBER(SEARCH("GROWW",C131)),ISNUMBER(SEARCH("ZERODHA",C131)),ISNUMBER(SEARCH("MUTUAL",C131)),ISNUMBER(SEARCH("SIP",C131)),ISNUMBER(SEARCH("NIPPON",C131))),"Monthly SIP Investment",IF(OR(ISNUMBER(SEARCH("BMTC",C131)),ISNUMBER(SEARCH("BUS",C131)),ISNUMBER(SEARCH("METRO",C131)),ISNUMBER(SEARCH("CHALO",C131))),"BMTC Bus Commute",IF(OR(ISNUMBER(SEARCH("SWIGGY",C131)),ISNUMBER(SEARCH("ZOMATO",C131)),ISNUMBER(SEARCH("CANTEEN",C131)),ISNUMBER(SEARCH("LUNCH",C131)),ISNUMBER(SEARCH("FOOD",C131)),ISNUMBER(SEARCH("SUBWAY",C131))),"Daily Office Lunch (Mon–Sat)",IF(OR(ISNUMBER(SEARCH("BLINKIT",C131)),ISNUMBER(SEARCH("ZEPTO",C131)),ISNUMBER(SEARCH("RECHARGE",C131)),ISNUMBER(SEARCH("JIO",C131)),ISNUMBER(SEARCH("AIRTEL",C131)),ISNUMBER(SEARCH("PHARMACY",C131)),ISNUMBER(SEARCH("APOLLO",C131)),ISNUMBER(SEARCH("ESSENTIALS",C131)),ISNUMBER(SEARCH("LIFESTYLE",C131))),"Lifestyle &amp; Personal Essentials",IF(OR(ISNUMBER(SEARCH("EMERGENCY",C131)),ISNUMBER(SEARCH("SWEEP",C131)),ISNUMBER(SEARCH("RESERVE",C131))),"Emergency Fund Allocation","Unallocated Flex Buffer")))))))))</f>
        <v/>
      </c>
      <c r="J131" s="39" t="inlineStr"/>
      <c r="K131" s="23">
        <f>IF(C131="","",IF(J131&lt;&gt;"",J131,I131))</f>
        <v/>
      </c>
      <c r="L131" s="40">
        <f>IF(A131="","",IF(ISNUMBER(A131),TEXT(A131,"mmm-yyyy"),"Oct-2026"))</f>
        <v/>
      </c>
      <c r="M131" s="40">
        <f>IF(D131&gt;=5000,"🚨 High Value Debit (₹"&amp;TEXT(D131,"#,##0")&amp;")",IF(D131&gt;=1000,"⚡ Notable Expense","—"))</f>
        <v/>
      </c>
    </row>
    <row r="132">
      <c r="A132" s="39" t="inlineStr"/>
      <c r="B132" s="39" t="inlineStr"/>
      <c r="C132" s="39" t="inlineStr"/>
      <c r="D132" s="41" t="inlineStr"/>
      <c r="E132" s="41" t="inlineStr"/>
      <c r="F132" s="41" t="inlineStr"/>
      <c r="G132" s="39" t="inlineStr"/>
      <c r="H132" s="26">
        <f>IF(C132="","",IF(E132&gt;0,"INCOME",IF(D132&gt;0,"EXPENSE","NEUTRAL")))</f>
        <v/>
      </c>
      <c r="I132" s="39">
        <f>IF(C132="","",=IF(OR(ISNUMBER(SEARCH("STIPEND",C132)),ISNUMBER(SEARCH("SIGMASOFT",C132)),ISNUMBER(SEARCH("SALARY",C132))),"Internship Stipend",IF(OR(ISNUMBER(SEARCH("FAMILY",C132)),ISNUMBER(SEARCH("PAPA",C132)),ISNUMBER(SEARCH("MOM",C132)),ISNUMBER(SEARCH("FATHER",C132))),"Family Support",IF(OR(ISNUMBER(SEARCH("PG",C132)),ISNUMBER(SEARCH("RENT",C132)),ISNUMBER(SEARCH("STANZA",C132)),ISNUMBER(SEARCH("ZOLO",C132))),"PG Rent &amp; Covered Meals",IF(OR(ISNUMBER(SEARCH("GROWW",C132)),ISNUMBER(SEARCH("ZERODHA",C132)),ISNUMBER(SEARCH("MUTUAL",C132)),ISNUMBER(SEARCH("SIP",C132)),ISNUMBER(SEARCH("NIPPON",C132))),"Monthly SIP Investment",IF(OR(ISNUMBER(SEARCH("BMTC",C132)),ISNUMBER(SEARCH("BUS",C132)),ISNUMBER(SEARCH("METRO",C132)),ISNUMBER(SEARCH("CHALO",C132))),"BMTC Bus Commute",IF(OR(ISNUMBER(SEARCH("SWIGGY",C132)),ISNUMBER(SEARCH("ZOMATO",C132)),ISNUMBER(SEARCH("CANTEEN",C132)),ISNUMBER(SEARCH("LUNCH",C132)),ISNUMBER(SEARCH("FOOD",C132)),ISNUMBER(SEARCH("SUBWAY",C132))),"Daily Office Lunch (Mon–Sat)",IF(OR(ISNUMBER(SEARCH("BLINKIT",C132)),ISNUMBER(SEARCH("ZEPTO",C132)),ISNUMBER(SEARCH("RECHARGE",C132)),ISNUMBER(SEARCH("JIO",C132)),ISNUMBER(SEARCH("AIRTEL",C132)),ISNUMBER(SEARCH("PHARMACY",C132)),ISNUMBER(SEARCH("APOLLO",C132)),ISNUMBER(SEARCH("ESSENTIALS",C132)),ISNUMBER(SEARCH("LIFESTYLE",C132))),"Lifestyle &amp; Personal Essentials",IF(OR(ISNUMBER(SEARCH("EMERGENCY",C132)),ISNUMBER(SEARCH("SWEEP",C132)),ISNUMBER(SEARCH("RESERVE",C132))),"Emergency Fund Allocation","Unallocated Flex Buffer")))))))))</f>
        <v/>
      </c>
      <c r="J132" s="39" t="inlineStr"/>
      <c r="K132" s="23">
        <f>IF(C132="","",IF(J132&lt;&gt;"",J132,I132))</f>
        <v/>
      </c>
      <c r="L132" s="40">
        <f>IF(A132="","",IF(ISNUMBER(A132),TEXT(A132,"mmm-yyyy"),"Oct-2026"))</f>
        <v/>
      </c>
      <c r="M132" s="40">
        <f>IF(D132&gt;=5000,"🚨 High Value Debit (₹"&amp;TEXT(D132,"#,##0")&amp;")",IF(D132&gt;=1000,"⚡ Notable Expense","—"))</f>
        <v/>
      </c>
    </row>
    <row r="133">
      <c r="A133" s="39" t="inlineStr"/>
      <c r="B133" s="39" t="inlineStr"/>
      <c r="C133" s="39" t="inlineStr"/>
      <c r="D133" s="41" t="inlineStr"/>
      <c r="E133" s="41" t="inlineStr"/>
      <c r="F133" s="41" t="inlineStr"/>
      <c r="G133" s="39" t="inlineStr"/>
      <c r="H133" s="26">
        <f>IF(C133="","",IF(E133&gt;0,"INCOME",IF(D133&gt;0,"EXPENSE","NEUTRAL")))</f>
        <v/>
      </c>
      <c r="I133" s="39">
        <f>IF(C133="","",=IF(OR(ISNUMBER(SEARCH("STIPEND",C133)),ISNUMBER(SEARCH("SIGMASOFT",C133)),ISNUMBER(SEARCH("SALARY",C133))),"Internship Stipend",IF(OR(ISNUMBER(SEARCH("FAMILY",C133)),ISNUMBER(SEARCH("PAPA",C133)),ISNUMBER(SEARCH("MOM",C133)),ISNUMBER(SEARCH("FATHER",C133))),"Family Support",IF(OR(ISNUMBER(SEARCH("PG",C133)),ISNUMBER(SEARCH("RENT",C133)),ISNUMBER(SEARCH("STANZA",C133)),ISNUMBER(SEARCH("ZOLO",C133))),"PG Rent &amp; Covered Meals",IF(OR(ISNUMBER(SEARCH("GROWW",C133)),ISNUMBER(SEARCH("ZERODHA",C133)),ISNUMBER(SEARCH("MUTUAL",C133)),ISNUMBER(SEARCH("SIP",C133)),ISNUMBER(SEARCH("NIPPON",C133))),"Monthly SIP Investment",IF(OR(ISNUMBER(SEARCH("BMTC",C133)),ISNUMBER(SEARCH("BUS",C133)),ISNUMBER(SEARCH("METRO",C133)),ISNUMBER(SEARCH("CHALO",C133))),"BMTC Bus Commute",IF(OR(ISNUMBER(SEARCH("SWIGGY",C133)),ISNUMBER(SEARCH("ZOMATO",C133)),ISNUMBER(SEARCH("CANTEEN",C133)),ISNUMBER(SEARCH("LUNCH",C133)),ISNUMBER(SEARCH("FOOD",C133)),ISNUMBER(SEARCH("SUBWAY",C133))),"Daily Office Lunch (Mon–Sat)",IF(OR(ISNUMBER(SEARCH("BLINKIT",C133)),ISNUMBER(SEARCH("ZEPTO",C133)),ISNUMBER(SEARCH("RECHARGE",C133)),ISNUMBER(SEARCH("JIO",C133)),ISNUMBER(SEARCH("AIRTEL",C133)),ISNUMBER(SEARCH("PHARMACY",C133)),ISNUMBER(SEARCH("APOLLO",C133)),ISNUMBER(SEARCH("ESSENTIALS",C133)),ISNUMBER(SEARCH("LIFESTYLE",C133))),"Lifestyle &amp; Personal Essentials",IF(OR(ISNUMBER(SEARCH("EMERGENCY",C133)),ISNUMBER(SEARCH("SWEEP",C133)),ISNUMBER(SEARCH("RESERVE",C133))),"Emergency Fund Allocation","Unallocated Flex Buffer")))))))))</f>
        <v/>
      </c>
      <c r="J133" s="39" t="inlineStr"/>
      <c r="K133" s="23">
        <f>IF(C133="","",IF(J133&lt;&gt;"",J133,I133))</f>
        <v/>
      </c>
      <c r="L133" s="40">
        <f>IF(A133="","",IF(ISNUMBER(A133),TEXT(A133,"mmm-yyyy"),"Oct-2026"))</f>
        <v/>
      </c>
      <c r="M133" s="40">
        <f>IF(D133&gt;=5000,"🚨 High Value Debit (₹"&amp;TEXT(D133,"#,##0")&amp;")",IF(D133&gt;=1000,"⚡ Notable Expense","—"))</f>
        <v/>
      </c>
    </row>
    <row r="134">
      <c r="A134" s="39" t="inlineStr"/>
      <c r="B134" s="39" t="inlineStr"/>
      <c r="C134" s="39" t="inlineStr"/>
      <c r="D134" s="41" t="inlineStr"/>
      <c r="E134" s="41" t="inlineStr"/>
      <c r="F134" s="41" t="inlineStr"/>
      <c r="G134" s="39" t="inlineStr"/>
      <c r="H134" s="26">
        <f>IF(C134="","",IF(E134&gt;0,"INCOME",IF(D134&gt;0,"EXPENSE","NEUTRAL")))</f>
        <v/>
      </c>
      <c r="I134" s="39">
        <f>IF(C134="","",=IF(OR(ISNUMBER(SEARCH("STIPEND",C134)),ISNUMBER(SEARCH("SIGMASOFT",C134)),ISNUMBER(SEARCH("SALARY",C134))),"Internship Stipend",IF(OR(ISNUMBER(SEARCH("FAMILY",C134)),ISNUMBER(SEARCH("PAPA",C134)),ISNUMBER(SEARCH("MOM",C134)),ISNUMBER(SEARCH("FATHER",C134))),"Family Support",IF(OR(ISNUMBER(SEARCH("PG",C134)),ISNUMBER(SEARCH("RENT",C134)),ISNUMBER(SEARCH("STANZA",C134)),ISNUMBER(SEARCH("ZOLO",C134))),"PG Rent &amp; Covered Meals",IF(OR(ISNUMBER(SEARCH("GROWW",C134)),ISNUMBER(SEARCH("ZERODHA",C134)),ISNUMBER(SEARCH("MUTUAL",C134)),ISNUMBER(SEARCH("SIP",C134)),ISNUMBER(SEARCH("NIPPON",C134))),"Monthly SIP Investment",IF(OR(ISNUMBER(SEARCH("BMTC",C134)),ISNUMBER(SEARCH("BUS",C134)),ISNUMBER(SEARCH("METRO",C134)),ISNUMBER(SEARCH("CHALO",C134))),"BMTC Bus Commute",IF(OR(ISNUMBER(SEARCH("SWIGGY",C134)),ISNUMBER(SEARCH("ZOMATO",C134)),ISNUMBER(SEARCH("CANTEEN",C134)),ISNUMBER(SEARCH("LUNCH",C134)),ISNUMBER(SEARCH("FOOD",C134)),ISNUMBER(SEARCH("SUBWAY",C134))),"Daily Office Lunch (Mon–Sat)",IF(OR(ISNUMBER(SEARCH("BLINKIT",C134)),ISNUMBER(SEARCH("ZEPTO",C134)),ISNUMBER(SEARCH("RECHARGE",C134)),ISNUMBER(SEARCH("JIO",C134)),ISNUMBER(SEARCH("AIRTEL",C134)),ISNUMBER(SEARCH("PHARMACY",C134)),ISNUMBER(SEARCH("APOLLO",C134)),ISNUMBER(SEARCH("ESSENTIALS",C134)),ISNUMBER(SEARCH("LIFESTYLE",C134))),"Lifestyle &amp; Personal Essentials",IF(OR(ISNUMBER(SEARCH("EMERGENCY",C134)),ISNUMBER(SEARCH("SWEEP",C134)),ISNUMBER(SEARCH("RESERVE",C134))),"Emergency Fund Allocation","Unallocated Flex Buffer")))))))))</f>
        <v/>
      </c>
      <c r="J134" s="39" t="inlineStr"/>
      <c r="K134" s="23">
        <f>IF(C134="","",IF(J134&lt;&gt;"",J134,I134))</f>
        <v/>
      </c>
      <c r="L134" s="40">
        <f>IF(A134="","",IF(ISNUMBER(A134),TEXT(A134,"mmm-yyyy"),"Oct-2026"))</f>
        <v/>
      </c>
      <c r="M134" s="40">
        <f>IF(D134&gt;=5000,"🚨 High Value Debit (₹"&amp;TEXT(D134,"#,##0")&amp;")",IF(D134&gt;=1000,"⚡ Notable Expense","—"))</f>
        <v/>
      </c>
    </row>
    <row r="135">
      <c r="A135" s="39" t="inlineStr"/>
      <c r="B135" s="39" t="inlineStr"/>
      <c r="C135" s="39" t="inlineStr"/>
      <c r="D135" s="41" t="inlineStr"/>
      <c r="E135" s="41" t="inlineStr"/>
      <c r="F135" s="41" t="inlineStr"/>
      <c r="G135" s="39" t="inlineStr"/>
      <c r="H135" s="26">
        <f>IF(C135="","",IF(E135&gt;0,"INCOME",IF(D135&gt;0,"EXPENSE","NEUTRAL")))</f>
        <v/>
      </c>
      <c r="I135" s="39">
        <f>IF(C135="","",=IF(OR(ISNUMBER(SEARCH("STIPEND",C135)),ISNUMBER(SEARCH("SIGMASOFT",C135)),ISNUMBER(SEARCH("SALARY",C135))),"Internship Stipend",IF(OR(ISNUMBER(SEARCH("FAMILY",C135)),ISNUMBER(SEARCH("PAPA",C135)),ISNUMBER(SEARCH("MOM",C135)),ISNUMBER(SEARCH("FATHER",C135))),"Family Support",IF(OR(ISNUMBER(SEARCH("PG",C135)),ISNUMBER(SEARCH("RENT",C135)),ISNUMBER(SEARCH("STANZA",C135)),ISNUMBER(SEARCH("ZOLO",C135))),"PG Rent &amp; Covered Meals",IF(OR(ISNUMBER(SEARCH("GROWW",C135)),ISNUMBER(SEARCH("ZERODHA",C135)),ISNUMBER(SEARCH("MUTUAL",C135)),ISNUMBER(SEARCH("SIP",C135)),ISNUMBER(SEARCH("NIPPON",C135))),"Monthly SIP Investment",IF(OR(ISNUMBER(SEARCH("BMTC",C135)),ISNUMBER(SEARCH("BUS",C135)),ISNUMBER(SEARCH("METRO",C135)),ISNUMBER(SEARCH("CHALO",C135))),"BMTC Bus Commute",IF(OR(ISNUMBER(SEARCH("SWIGGY",C135)),ISNUMBER(SEARCH("ZOMATO",C135)),ISNUMBER(SEARCH("CANTEEN",C135)),ISNUMBER(SEARCH("LUNCH",C135)),ISNUMBER(SEARCH("FOOD",C135)),ISNUMBER(SEARCH("SUBWAY",C135))),"Daily Office Lunch (Mon–Sat)",IF(OR(ISNUMBER(SEARCH("BLINKIT",C135)),ISNUMBER(SEARCH("ZEPTO",C135)),ISNUMBER(SEARCH("RECHARGE",C135)),ISNUMBER(SEARCH("JIO",C135)),ISNUMBER(SEARCH("AIRTEL",C135)),ISNUMBER(SEARCH("PHARMACY",C135)),ISNUMBER(SEARCH("APOLLO",C135)),ISNUMBER(SEARCH("ESSENTIALS",C135)),ISNUMBER(SEARCH("LIFESTYLE",C135))),"Lifestyle &amp; Personal Essentials",IF(OR(ISNUMBER(SEARCH("EMERGENCY",C135)),ISNUMBER(SEARCH("SWEEP",C135)),ISNUMBER(SEARCH("RESERVE",C135))),"Emergency Fund Allocation","Unallocated Flex Buffer")))))))))</f>
        <v/>
      </c>
      <c r="J135" s="39" t="inlineStr"/>
      <c r="K135" s="23">
        <f>IF(C135="","",IF(J135&lt;&gt;"",J135,I135))</f>
        <v/>
      </c>
      <c r="L135" s="40">
        <f>IF(A135="","",IF(ISNUMBER(A135),TEXT(A135,"mmm-yyyy"),"Oct-2026"))</f>
        <v/>
      </c>
      <c r="M135" s="40">
        <f>IF(D135&gt;=5000,"🚨 High Value Debit (₹"&amp;TEXT(D135,"#,##0")&amp;")",IF(D135&gt;=1000,"⚡ Notable Expense","—"))</f>
        <v/>
      </c>
    </row>
    <row r="136">
      <c r="A136" s="39" t="inlineStr"/>
      <c r="B136" s="39" t="inlineStr"/>
      <c r="C136" s="39" t="inlineStr"/>
      <c r="D136" s="41" t="inlineStr"/>
      <c r="E136" s="41" t="inlineStr"/>
      <c r="F136" s="41" t="inlineStr"/>
      <c r="G136" s="39" t="inlineStr"/>
      <c r="H136" s="26">
        <f>IF(C136="","",IF(E136&gt;0,"INCOME",IF(D136&gt;0,"EXPENSE","NEUTRAL")))</f>
        <v/>
      </c>
      <c r="I136" s="39">
        <f>IF(C136="","",=IF(OR(ISNUMBER(SEARCH("STIPEND",C136)),ISNUMBER(SEARCH("SIGMASOFT",C136)),ISNUMBER(SEARCH("SALARY",C136))),"Internship Stipend",IF(OR(ISNUMBER(SEARCH("FAMILY",C136)),ISNUMBER(SEARCH("PAPA",C136)),ISNUMBER(SEARCH("MOM",C136)),ISNUMBER(SEARCH("FATHER",C136))),"Family Support",IF(OR(ISNUMBER(SEARCH("PG",C136)),ISNUMBER(SEARCH("RENT",C136)),ISNUMBER(SEARCH("STANZA",C136)),ISNUMBER(SEARCH("ZOLO",C136))),"PG Rent &amp; Covered Meals",IF(OR(ISNUMBER(SEARCH("GROWW",C136)),ISNUMBER(SEARCH("ZERODHA",C136)),ISNUMBER(SEARCH("MUTUAL",C136)),ISNUMBER(SEARCH("SIP",C136)),ISNUMBER(SEARCH("NIPPON",C136))),"Monthly SIP Investment",IF(OR(ISNUMBER(SEARCH("BMTC",C136)),ISNUMBER(SEARCH("BUS",C136)),ISNUMBER(SEARCH("METRO",C136)),ISNUMBER(SEARCH("CHALO",C136))),"BMTC Bus Commute",IF(OR(ISNUMBER(SEARCH("SWIGGY",C136)),ISNUMBER(SEARCH("ZOMATO",C136)),ISNUMBER(SEARCH("CANTEEN",C136)),ISNUMBER(SEARCH("LUNCH",C136)),ISNUMBER(SEARCH("FOOD",C136)),ISNUMBER(SEARCH("SUBWAY",C136))),"Daily Office Lunch (Mon–Sat)",IF(OR(ISNUMBER(SEARCH("BLINKIT",C136)),ISNUMBER(SEARCH("ZEPTO",C136)),ISNUMBER(SEARCH("RECHARGE",C136)),ISNUMBER(SEARCH("JIO",C136)),ISNUMBER(SEARCH("AIRTEL",C136)),ISNUMBER(SEARCH("PHARMACY",C136)),ISNUMBER(SEARCH("APOLLO",C136)),ISNUMBER(SEARCH("ESSENTIALS",C136)),ISNUMBER(SEARCH("LIFESTYLE",C136))),"Lifestyle &amp; Personal Essentials",IF(OR(ISNUMBER(SEARCH("EMERGENCY",C136)),ISNUMBER(SEARCH("SWEEP",C136)),ISNUMBER(SEARCH("RESERVE",C136))),"Emergency Fund Allocation","Unallocated Flex Buffer")))))))))</f>
        <v/>
      </c>
      <c r="J136" s="39" t="inlineStr"/>
      <c r="K136" s="23">
        <f>IF(C136="","",IF(J136&lt;&gt;"",J136,I136))</f>
        <v/>
      </c>
      <c r="L136" s="40">
        <f>IF(A136="","",IF(ISNUMBER(A136),TEXT(A136,"mmm-yyyy"),"Oct-2026"))</f>
        <v/>
      </c>
      <c r="M136" s="40">
        <f>IF(D136&gt;=5000,"🚨 High Value Debit (₹"&amp;TEXT(D136,"#,##0")&amp;")",IF(D136&gt;=1000,"⚡ Notable Expense","—"))</f>
        <v/>
      </c>
    </row>
    <row r="137">
      <c r="A137" s="39" t="inlineStr"/>
      <c r="B137" s="39" t="inlineStr"/>
      <c r="C137" s="39" t="inlineStr"/>
      <c r="D137" s="41" t="inlineStr"/>
      <c r="E137" s="41" t="inlineStr"/>
      <c r="F137" s="41" t="inlineStr"/>
      <c r="G137" s="39" t="inlineStr"/>
      <c r="H137" s="26">
        <f>IF(C137="","",IF(E137&gt;0,"INCOME",IF(D137&gt;0,"EXPENSE","NEUTRAL")))</f>
        <v/>
      </c>
      <c r="I137" s="39">
        <f>IF(C137="","",=IF(OR(ISNUMBER(SEARCH("STIPEND",C137)),ISNUMBER(SEARCH("SIGMASOFT",C137)),ISNUMBER(SEARCH("SALARY",C137))),"Internship Stipend",IF(OR(ISNUMBER(SEARCH("FAMILY",C137)),ISNUMBER(SEARCH("PAPA",C137)),ISNUMBER(SEARCH("MOM",C137)),ISNUMBER(SEARCH("FATHER",C137))),"Family Support",IF(OR(ISNUMBER(SEARCH("PG",C137)),ISNUMBER(SEARCH("RENT",C137)),ISNUMBER(SEARCH("STANZA",C137)),ISNUMBER(SEARCH("ZOLO",C137))),"PG Rent &amp; Covered Meals",IF(OR(ISNUMBER(SEARCH("GROWW",C137)),ISNUMBER(SEARCH("ZERODHA",C137)),ISNUMBER(SEARCH("MUTUAL",C137)),ISNUMBER(SEARCH("SIP",C137)),ISNUMBER(SEARCH("NIPPON",C137))),"Monthly SIP Investment",IF(OR(ISNUMBER(SEARCH("BMTC",C137)),ISNUMBER(SEARCH("BUS",C137)),ISNUMBER(SEARCH("METRO",C137)),ISNUMBER(SEARCH("CHALO",C137))),"BMTC Bus Commute",IF(OR(ISNUMBER(SEARCH("SWIGGY",C137)),ISNUMBER(SEARCH("ZOMATO",C137)),ISNUMBER(SEARCH("CANTEEN",C137)),ISNUMBER(SEARCH("LUNCH",C137)),ISNUMBER(SEARCH("FOOD",C137)),ISNUMBER(SEARCH("SUBWAY",C137))),"Daily Office Lunch (Mon–Sat)",IF(OR(ISNUMBER(SEARCH("BLINKIT",C137)),ISNUMBER(SEARCH("ZEPTO",C137)),ISNUMBER(SEARCH("RECHARGE",C137)),ISNUMBER(SEARCH("JIO",C137)),ISNUMBER(SEARCH("AIRTEL",C137)),ISNUMBER(SEARCH("PHARMACY",C137)),ISNUMBER(SEARCH("APOLLO",C137)),ISNUMBER(SEARCH("ESSENTIALS",C137)),ISNUMBER(SEARCH("LIFESTYLE",C137))),"Lifestyle &amp; Personal Essentials",IF(OR(ISNUMBER(SEARCH("EMERGENCY",C137)),ISNUMBER(SEARCH("SWEEP",C137)),ISNUMBER(SEARCH("RESERVE",C137))),"Emergency Fund Allocation","Unallocated Flex Buffer")))))))))</f>
        <v/>
      </c>
      <c r="J137" s="39" t="inlineStr"/>
      <c r="K137" s="23">
        <f>IF(C137="","",IF(J137&lt;&gt;"",J137,I137))</f>
        <v/>
      </c>
      <c r="L137" s="40">
        <f>IF(A137="","",IF(ISNUMBER(A137),TEXT(A137,"mmm-yyyy"),"Oct-2026"))</f>
        <v/>
      </c>
      <c r="M137" s="40">
        <f>IF(D137&gt;=5000,"🚨 High Value Debit (₹"&amp;TEXT(D137,"#,##0")&amp;")",IF(D137&gt;=1000,"⚡ Notable Expense","—"))</f>
        <v/>
      </c>
    </row>
    <row r="138">
      <c r="A138" s="39" t="inlineStr"/>
      <c r="B138" s="39" t="inlineStr"/>
      <c r="C138" s="39" t="inlineStr"/>
      <c r="D138" s="41" t="inlineStr"/>
      <c r="E138" s="41" t="inlineStr"/>
      <c r="F138" s="41" t="inlineStr"/>
      <c r="G138" s="39" t="inlineStr"/>
      <c r="H138" s="26">
        <f>IF(C138="","",IF(E138&gt;0,"INCOME",IF(D138&gt;0,"EXPENSE","NEUTRAL")))</f>
        <v/>
      </c>
      <c r="I138" s="39">
        <f>IF(C138="","",=IF(OR(ISNUMBER(SEARCH("STIPEND",C138)),ISNUMBER(SEARCH("SIGMASOFT",C138)),ISNUMBER(SEARCH("SALARY",C138))),"Internship Stipend",IF(OR(ISNUMBER(SEARCH("FAMILY",C138)),ISNUMBER(SEARCH("PAPA",C138)),ISNUMBER(SEARCH("MOM",C138)),ISNUMBER(SEARCH("FATHER",C138))),"Family Support",IF(OR(ISNUMBER(SEARCH("PG",C138)),ISNUMBER(SEARCH("RENT",C138)),ISNUMBER(SEARCH("STANZA",C138)),ISNUMBER(SEARCH("ZOLO",C138))),"PG Rent &amp; Covered Meals",IF(OR(ISNUMBER(SEARCH("GROWW",C138)),ISNUMBER(SEARCH("ZERODHA",C138)),ISNUMBER(SEARCH("MUTUAL",C138)),ISNUMBER(SEARCH("SIP",C138)),ISNUMBER(SEARCH("NIPPON",C138))),"Monthly SIP Investment",IF(OR(ISNUMBER(SEARCH("BMTC",C138)),ISNUMBER(SEARCH("BUS",C138)),ISNUMBER(SEARCH("METRO",C138)),ISNUMBER(SEARCH("CHALO",C138))),"BMTC Bus Commute",IF(OR(ISNUMBER(SEARCH("SWIGGY",C138)),ISNUMBER(SEARCH("ZOMATO",C138)),ISNUMBER(SEARCH("CANTEEN",C138)),ISNUMBER(SEARCH("LUNCH",C138)),ISNUMBER(SEARCH("FOOD",C138)),ISNUMBER(SEARCH("SUBWAY",C138))),"Daily Office Lunch (Mon–Sat)",IF(OR(ISNUMBER(SEARCH("BLINKIT",C138)),ISNUMBER(SEARCH("ZEPTO",C138)),ISNUMBER(SEARCH("RECHARGE",C138)),ISNUMBER(SEARCH("JIO",C138)),ISNUMBER(SEARCH("AIRTEL",C138)),ISNUMBER(SEARCH("PHARMACY",C138)),ISNUMBER(SEARCH("APOLLO",C138)),ISNUMBER(SEARCH("ESSENTIALS",C138)),ISNUMBER(SEARCH("LIFESTYLE",C138))),"Lifestyle &amp; Personal Essentials",IF(OR(ISNUMBER(SEARCH("EMERGENCY",C138)),ISNUMBER(SEARCH("SWEEP",C138)),ISNUMBER(SEARCH("RESERVE",C138))),"Emergency Fund Allocation","Unallocated Flex Buffer")))))))))</f>
        <v/>
      </c>
      <c r="J138" s="39" t="inlineStr"/>
      <c r="K138" s="23">
        <f>IF(C138="","",IF(J138&lt;&gt;"",J138,I138))</f>
        <v/>
      </c>
      <c r="L138" s="40">
        <f>IF(A138="","",IF(ISNUMBER(A138),TEXT(A138,"mmm-yyyy"),"Oct-2026"))</f>
        <v/>
      </c>
      <c r="M138" s="40">
        <f>IF(D138&gt;=5000,"🚨 High Value Debit (₹"&amp;TEXT(D138,"#,##0")&amp;")",IF(D138&gt;=1000,"⚡ Notable Expense","—"))</f>
        <v/>
      </c>
    </row>
    <row r="139">
      <c r="A139" s="39" t="inlineStr"/>
      <c r="B139" s="39" t="inlineStr"/>
      <c r="C139" s="39" t="inlineStr"/>
      <c r="D139" s="41" t="inlineStr"/>
      <c r="E139" s="41" t="inlineStr"/>
      <c r="F139" s="41" t="inlineStr"/>
      <c r="G139" s="39" t="inlineStr"/>
      <c r="H139" s="26">
        <f>IF(C139="","",IF(E139&gt;0,"INCOME",IF(D139&gt;0,"EXPENSE","NEUTRAL")))</f>
        <v/>
      </c>
      <c r="I139" s="39">
        <f>IF(C139="","",=IF(OR(ISNUMBER(SEARCH("STIPEND",C139)),ISNUMBER(SEARCH("SIGMASOFT",C139)),ISNUMBER(SEARCH("SALARY",C139))),"Internship Stipend",IF(OR(ISNUMBER(SEARCH("FAMILY",C139)),ISNUMBER(SEARCH("PAPA",C139)),ISNUMBER(SEARCH("MOM",C139)),ISNUMBER(SEARCH("FATHER",C139))),"Family Support",IF(OR(ISNUMBER(SEARCH("PG",C139)),ISNUMBER(SEARCH("RENT",C139)),ISNUMBER(SEARCH("STANZA",C139)),ISNUMBER(SEARCH("ZOLO",C139))),"PG Rent &amp; Covered Meals",IF(OR(ISNUMBER(SEARCH("GROWW",C139)),ISNUMBER(SEARCH("ZERODHA",C139)),ISNUMBER(SEARCH("MUTUAL",C139)),ISNUMBER(SEARCH("SIP",C139)),ISNUMBER(SEARCH("NIPPON",C139))),"Monthly SIP Investment",IF(OR(ISNUMBER(SEARCH("BMTC",C139)),ISNUMBER(SEARCH("BUS",C139)),ISNUMBER(SEARCH("METRO",C139)),ISNUMBER(SEARCH("CHALO",C139))),"BMTC Bus Commute",IF(OR(ISNUMBER(SEARCH("SWIGGY",C139)),ISNUMBER(SEARCH("ZOMATO",C139)),ISNUMBER(SEARCH("CANTEEN",C139)),ISNUMBER(SEARCH("LUNCH",C139)),ISNUMBER(SEARCH("FOOD",C139)),ISNUMBER(SEARCH("SUBWAY",C139))),"Daily Office Lunch (Mon–Sat)",IF(OR(ISNUMBER(SEARCH("BLINKIT",C139)),ISNUMBER(SEARCH("ZEPTO",C139)),ISNUMBER(SEARCH("RECHARGE",C139)),ISNUMBER(SEARCH("JIO",C139)),ISNUMBER(SEARCH("AIRTEL",C139)),ISNUMBER(SEARCH("PHARMACY",C139)),ISNUMBER(SEARCH("APOLLO",C139)),ISNUMBER(SEARCH("ESSENTIALS",C139)),ISNUMBER(SEARCH("LIFESTYLE",C139))),"Lifestyle &amp; Personal Essentials",IF(OR(ISNUMBER(SEARCH("EMERGENCY",C139)),ISNUMBER(SEARCH("SWEEP",C139)),ISNUMBER(SEARCH("RESERVE",C139))),"Emergency Fund Allocation","Unallocated Flex Buffer")))))))))</f>
        <v/>
      </c>
      <c r="J139" s="39" t="inlineStr"/>
      <c r="K139" s="23">
        <f>IF(C139="","",IF(J139&lt;&gt;"",J139,I139))</f>
        <v/>
      </c>
      <c r="L139" s="40">
        <f>IF(A139="","",IF(ISNUMBER(A139),TEXT(A139,"mmm-yyyy"),"Oct-2026"))</f>
        <v/>
      </c>
      <c r="M139" s="40">
        <f>IF(D139&gt;=5000,"🚨 High Value Debit (₹"&amp;TEXT(D139,"#,##0")&amp;")",IF(D139&gt;=1000,"⚡ Notable Expense","—"))</f>
        <v/>
      </c>
    </row>
    <row r="140">
      <c r="A140" s="39" t="inlineStr"/>
      <c r="B140" s="39" t="inlineStr"/>
      <c r="C140" s="39" t="inlineStr"/>
      <c r="D140" s="41" t="inlineStr"/>
      <c r="E140" s="41" t="inlineStr"/>
      <c r="F140" s="41" t="inlineStr"/>
      <c r="G140" s="39" t="inlineStr"/>
      <c r="H140" s="26">
        <f>IF(C140="","",IF(E140&gt;0,"INCOME",IF(D140&gt;0,"EXPENSE","NEUTRAL")))</f>
        <v/>
      </c>
      <c r="I140" s="39">
        <f>IF(C140="","",=IF(OR(ISNUMBER(SEARCH("STIPEND",C140)),ISNUMBER(SEARCH("SIGMASOFT",C140)),ISNUMBER(SEARCH("SALARY",C140))),"Internship Stipend",IF(OR(ISNUMBER(SEARCH("FAMILY",C140)),ISNUMBER(SEARCH("PAPA",C140)),ISNUMBER(SEARCH("MOM",C140)),ISNUMBER(SEARCH("FATHER",C140))),"Family Support",IF(OR(ISNUMBER(SEARCH("PG",C140)),ISNUMBER(SEARCH("RENT",C140)),ISNUMBER(SEARCH("STANZA",C140)),ISNUMBER(SEARCH("ZOLO",C140))),"PG Rent &amp; Covered Meals",IF(OR(ISNUMBER(SEARCH("GROWW",C140)),ISNUMBER(SEARCH("ZERODHA",C140)),ISNUMBER(SEARCH("MUTUAL",C140)),ISNUMBER(SEARCH("SIP",C140)),ISNUMBER(SEARCH("NIPPON",C140))),"Monthly SIP Investment",IF(OR(ISNUMBER(SEARCH("BMTC",C140)),ISNUMBER(SEARCH("BUS",C140)),ISNUMBER(SEARCH("METRO",C140)),ISNUMBER(SEARCH("CHALO",C140))),"BMTC Bus Commute",IF(OR(ISNUMBER(SEARCH("SWIGGY",C140)),ISNUMBER(SEARCH("ZOMATO",C140)),ISNUMBER(SEARCH("CANTEEN",C140)),ISNUMBER(SEARCH("LUNCH",C140)),ISNUMBER(SEARCH("FOOD",C140)),ISNUMBER(SEARCH("SUBWAY",C140))),"Daily Office Lunch (Mon–Sat)",IF(OR(ISNUMBER(SEARCH("BLINKIT",C140)),ISNUMBER(SEARCH("ZEPTO",C140)),ISNUMBER(SEARCH("RECHARGE",C140)),ISNUMBER(SEARCH("JIO",C140)),ISNUMBER(SEARCH("AIRTEL",C140)),ISNUMBER(SEARCH("PHARMACY",C140)),ISNUMBER(SEARCH("APOLLO",C140)),ISNUMBER(SEARCH("ESSENTIALS",C140)),ISNUMBER(SEARCH("LIFESTYLE",C140))),"Lifestyle &amp; Personal Essentials",IF(OR(ISNUMBER(SEARCH("EMERGENCY",C140)),ISNUMBER(SEARCH("SWEEP",C140)),ISNUMBER(SEARCH("RESERVE",C140))),"Emergency Fund Allocation","Unallocated Flex Buffer")))))))))</f>
        <v/>
      </c>
      <c r="J140" s="39" t="inlineStr"/>
      <c r="K140" s="23">
        <f>IF(C140="","",IF(J140&lt;&gt;"",J140,I140))</f>
        <v/>
      </c>
      <c r="L140" s="40">
        <f>IF(A140="","",IF(ISNUMBER(A140),TEXT(A140,"mmm-yyyy"),"Oct-2026"))</f>
        <v/>
      </c>
      <c r="M140" s="40">
        <f>IF(D140&gt;=5000,"🚨 High Value Debit (₹"&amp;TEXT(D140,"#,##0")&amp;")",IF(D140&gt;=1000,"⚡ Notable Expense","—"))</f>
        <v/>
      </c>
    </row>
    <row r="141">
      <c r="A141" s="39" t="inlineStr"/>
      <c r="B141" s="39" t="inlineStr"/>
      <c r="C141" s="39" t="inlineStr"/>
      <c r="D141" s="41" t="inlineStr"/>
      <c r="E141" s="41" t="inlineStr"/>
      <c r="F141" s="41" t="inlineStr"/>
      <c r="G141" s="39" t="inlineStr"/>
      <c r="H141" s="26">
        <f>IF(C141="","",IF(E141&gt;0,"INCOME",IF(D141&gt;0,"EXPENSE","NEUTRAL")))</f>
        <v/>
      </c>
      <c r="I141" s="39">
        <f>IF(C141="","",=IF(OR(ISNUMBER(SEARCH("STIPEND",C141)),ISNUMBER(SEARCH("SIGMASOFT",C141)),ISNUMBER(SEARCH("SALARY",C141))),"Internship Stipend",IF(OR(ISNUMBER(SEARCH("FAMILY",C141)),ISNUMBER(SEARCH("PAPA",C141)),ISNUMBER(SEARCH("MOM",C141)),ISNUMBER(SEARCH("FATHER",C141))),"Family Support",IF(OR(ISNUMBER(SEARCH("PG",C141)),ISNUMBER(SEARCH("RENT",C141)),ISNUMBER(SEARCH("STANZA",C141)),ISNUMBER(SEARCH("ZOLO",C141))),"PG Rent &amp; Covered Meals",IF(OR(ISNUMBER(SEARCH("GROWW",C141)),ISNUMBER(SEARCH("ZERODHA",C141)),ISNUMBER(SEARCH("MUTUAL",C141)),ISNUMBER(SEARCH("SIP",C141)),ISNUMBER(SEARCH("NIPPON",C141))),"Monthly SIP Investment",IF(OR(ISNUMBER(SEARCH("BMTC",C141)),ISNUMBER(SEARCH("BUS",C141)),ISNUMBER(SEARCH("METRO",C141)),ISNUMBER(SEARCH("CHALO",C141))),"BMTC Bus Commute",IF(OR(ISNUMBER(SEARCH("SWIGGY",C141)),ISNUMBER(SEARCH("ZOMATO",C141)),ISNUMBER(SEARCH("CANTEEN",C141)),ISNUMBER(SEARCH("LUNCH",C141)),ISNUMBER(SEARCH("FOOD",C141)),ISNUMBER(SEARCH("SUBWAY",C141))),"Daily Office Lunch (Mon–Sat)",IF(OR(ISNUMBER(SEARCH("BLINKIT",C141)),ISNUMBER(SEARCH("ZEPTO",C141)),ISNUMBER(SEARCH("RECHARGE",C141)),ISNUMBER(SEARCH("JIO",C141)),ISNUMBER(SEARCH("AIRTEL",C141)),ISNUMBER(SEARCH("PHARMACY",C141)),ISNUMBER(SEARCH("APOLLO",C141)),ISNUMBER(SEARCH("ESSENTIALS",C141)),ISNUMBER(SEARCH("LIFESTYLE",C141))),"Lifestyle &amp; Personal Essentials",IF(OR(ISNUMBER(SEARCH("EMERGENCY",C141)),ISNUMBER(SEARCH("SWEEP",C141)),ISNUMBER(SEARCH("RESERVE",C141))),"Emergency Fund Allocation","Unallocated Flex Buffer")))))))))</f>
        <v/>
      </c>
      <c r="J141" s="39" t="inlineStr"/>
      <c r="K141" s="23">
        <f>IF(C141="","",IF(J141&lt;&gt;"",J141,I141))</f>
        <v/>
      </c>
      <c r="L141" s="40">
        <f>IF(A141="","",IF(ISNUMBER(A141),TEXT(A141,"mmm-yyyy"),"Oct-2026"))</f>
        <v/>
      </c>
      <c r="M141" s="40">
        <f>IF(D141&gt;=5000,"🚨 High Value Debit (₹"&amp;TEXT(D141,"#,##0")&amp;")",IF(D141&gt;=1000,"⚡ Notable Expense","—"))</f>
        <v/>
      </c>
    </row>
    <row r="142">
      <c r="A142" s="39" t="inlineStr"/>
      <c r="B142" s="39" t="inlineStr"/>
      <c r="C142" s="39" t="inlineStr"/>
      <c r="D142" s="41" t="inlineStr"/>
      <c r="E142" s="41" t="inlineStr"/>
      <c r="F142" s="41" t="inlineStr"/>
      <c r="G142" s="39" t="inlineStr"/>
      <c r="H142" s="26">
        <f>IF(C142="","",IF(E142&gt;0,"INCOME",IF(D142&gt;0,"EXPENSE","NEUTRAL")))</f>
        <v/>
      </c>
      <c r="I142" s="39">
        <f>IF(C142="","",=IF(OR(ISNUMBER(SEARCH("STIPEND",C142)),ISNUMBER(SEARCH("SIGMASOFT",C142)),ISNUMBER(SEARCH("SALARY",C142))),"Internship Stipend",IF(OR(ISNUMBER(SEARCH("FAMILY",C142)),ISNUMBER(SEARCH("PAPA",C142)),ISNUMBER(SEARCH("MOM",C142)),ISNUMBER(SEARCH("FATHER",C142))),"Family Support",IF(OR(ISNUMBER(SEARCH("PG",C142)),ISNUMBER(SEARCH("RENT",C142)),ISNUMBER(SEARCH("STANZA",C142)),ISNUMBER(SEARCH("ZOLO",C142))),"PG Rent &amp; Covered Meals",IF(OR(ISNUMBER(SEARCH("GROWW",C142)),ISNUMBER(SEARCH("ZERODHA",C142)),ISNUMBER(SEARCH("MUTUAL",C142)),ISNUMBER(SEARCH("SIP",C142)),ISNUMBER(SEARCH("NIPPON",C142))),"Monthly SIP Investment",IF(OR(ISNUMBER(SEARCH("BMTC",C142)),ISNUMBER(SEARCH("BUS",C142)),ISNUMBER(SEARCH("METRO",C142)),ISNUMBER(SEARCH("CHALO",C142))),"BMTC Bus Commute",IF(OR(ISNUMBER(SEARCH("SWIGGY",C142)),ISNUMBER(SEARCH("ZOMATO",C142)),ISNUMBER(SEARCH("CANTEEN",C142)),ISNUMBER(SEARCH("LUNCH",C142)),ISNUMBER(SEARCH("FOOD",C142)),ISNUMBER(SEARCH("SUBWAY",C142))),"Daily Office Lunch (Mon–Sat)",IF(OR(ISNUMBER(SEARCH("BLINKIT",C142)),ISNUMBER(SEARCH("ZEPTO",C142)),ISNUMBER(SEARCH("RECHARGE",C142)),ISNUMBER(SEARCH("JIO",C142)),ISNUMBER(SEARCH("AIRTEL",C142)),ISNUMBER(SEARCH("PHARMACY",C142)),ISNUMBER(SEARCH("APOLLO",C142)),ISNUMBER(SEARCH("ESSENTIALS",C142)),ISNUMBER(SEARCH("LIFESTYLE",C142))),"Lifestyle &amp; Personal Essentials",IF(OR(ISNUMBER(SEARCH("EMERGENCY",C142)),ISNUMBER(SEARCH("SWEEP",C142)),ISNUMBER(SEARCH("RESERVE",C142))),"Emergency Fund Allocation","Unallocated Flex Buffer")))))))))</f>
        <v/>
      </c>
      <c r="J142" s="39" t="inlineStr"/>
      <c r="K142" s="23">
        <f>IF(C142="","",IF(J142&lt;&gt;"",J142,I142))</f>
        <v/>
      </c>
      <c r="L142" s="40">
        <f>IF(A142="","",IF(ISNUMBER(A142),TEXT(A142,"mmm-yyyy"),"Oct-2026"))</f>
        <v/>
      </c>
      <c r="M142" s="40">
        <f>IF(D142&gt;=5000,"🚨 High Value Debit (₹"&amp;TEXT(D142,"#,##0")&amp;")",IF(D142&gt;=1000,"⚡ Notable Expense","—"))</f>
        <v/>
      </c>
    </row>
    <row r="143">
      <c r="A143" s="39" t="inlineStr"/>
      <c r="B143" s="39" t="inlineStr"/>
      <c r="C143" s="39" t="inlineStr"/>
      <c r="D143" s="41" t="inlineStr"/>
      <c r="E143" s="41" t="inlineStr"/>
      <c r="F143" s="41" t="inlineStr"/>
      <c r="G143" s="39" t="inlineStr"/>
      <c r="H143" s="26">
        <f>IF(C143="","",IF(E143&gt;0,"INCOME",IF(D143&gt;0,"EXPENSE","NEUTRAL")))</f>
        <v/>
      </c>
      <c r="I143" s="39">
        <f>IF(C143="","",=IF(OR(ISNUMBER(SEARCH("STIPEND",C143)),ISNUMBER(SEARCH("SIGMASOFT",C143)),ISNUMBER(SEARCH("SALARY",C143))),"Internship Stipend",IF(OR(ISNUMBER(SEARCH("FAMILY",C143)),ISNUMBER(SEARCH("PAPA",C143)),ISNUMBER(SEARCH("MOM",C143)),ISNUMBER(SEARCH("FATHER",C143))),"Family Support",IF(OR(ISNUMBER(SEARCH("PG",C143)),ISNUMBER(SEARCH("RENT",C143)),ISNUMBER(SEARCH("STANZA",C143)),ISNUMBER(SEARCH("ZOLO",C143))),"PG Rent &amp; Covered Meals",IF(OR(ISNUMBER(SEARCH("GROWW",C143)),ISNUMBER(SEARCH("ZERODHA",C143)),ISNUMBER(SEARCH("MUTUAL",C143)),ISNUMBER(SEARCH("SIP",C143)),ISNUMBER(SEARCH("NIPPON",C143))),"Monthly SIP Investment",IF(OR(ISNUMBER(SEARCH("BMTC",C143)),ISNUMBER(SEARCH("BUS",C143)),ISNUMBER(SEARCH("METRO",C143)),ISNUMBER(SEARCH("CHALO",C143))),"BMTC Bus Commute",IF(OR(ISNUMBER(SEARCH("SWIGGY",C143)),ISNUMBER(SEARCH("ZOMATO",C143)),ISNUMBER(SEARCH("CANTEEN",C143)),ISNUMBER(SEARCH("LUNCH",C143)),ISNUMBER(SEARCH("FOOD",C143)),ISNUMBER(SEARCH("SUBWAY",C143))),"Daily Office Lunch (Mon–Sat)",IF(OR(ISNUMBER(SEARCH("BLINKIT",C143)),ISNUMBER(SEARCH("ZEPTO",C143)),ISNUMBER(SEARCH("RECHARGE",C143)),ISNUMBER(SEARCH("JIO",C143)),ISNUMBER(SEARCH("AIRTEL",C143)),ISNUMBER(SEARCH("PHARMACY",C143)),ISNUMBER(SEARCH("APOLLO",C143)),ISNUMBER(SEARCH("ESSENTIALS",C143)),ISNUMBER(SEARCH("LIFESTYLE",C143))),"Lifestyle &amp; Personal Essentials",IF(OR(ISNUMBER(SEARCH("EMERGENCY",C143)),ISNUMBER(SEARCH("SWEEP",C143)),ISNUMBER(SEARCH("RESERVE",C143))),"Emergency Fund Allocation","Unallocated Flex Buffer")))))))))</f>
        <v/>
      </c>
      <c r="J143" s="39" t="inlineStr"/>
      <c r="K143" s="23">
        <f>IF(C143="","",IF(J143&lt;&gt;"",J143,I143))</f>
        <v/>
      </c>
      <c r="L143" s="40">
        <f>IF(A143="","",IF(ISNUMBER(A143),TEXT(A143,"mmm-yyyy"),"Oct-2026"))</f>
        <v/>
      </c>
      <c r="M143" s="40">
        <f>IF(D143&gt;=5000,"🚨 High Value Debit (₹"&amp;TEXT(D143,"#,##0")&amp;")",IF(D143&gt;=1000,"⚡ Notable Expense","—"))</f>
        <v/>
      </c>
    </row>
    <row r="144">
      <c r="A144" s="39" t="inlineStr"/>
      <c r="B144" s="39" t="inlineStr"/>
      <c r="C144" s="39" t="inlineStr"/>
      <c r="D144" s="41" t="inlineStr"/>
      <c r="E144" s="41" t="inlineStr"/>
      <c r="F144" s="41" t="inlineStr"/>
      <c r="G144" s="39" t="inlineStr"/>
      <c r="H144" s="26">
        <f>IF(C144="","",IF(E144&gt;0,"INCOME",IF(D144&gt;0,"EXPENSE","NEUTRAL")))</f>
        <v/>
      </c>
      <c r="I144" s="39">
        <f>IF(C144="","",=IF(OR(ISNUMBER(SEARCH("STIPEND",C144)),ISNUMBER(SEARCH("SIGMASOFT",C144)),ISNUMBER(SEARCH("SALARY",C144))),"Internship Stipend",IF(OR(ISNUMBER(SEARCH("FAMILY",C144)),ISNUMBER(SEARCH("PAPA",C144)),ISNUMBER(SEARCH("MOM",C144)),ISNUMBER(SEARCH("FATHER",C144))),"Family Support",IF(OR(ISNUMBER(SEARCH("PG",C144)),ISNUMBER(SEARCH("RENT",C144)),ISNUMBER(SEARCH("STANZA",C144)),ISNUMBER(SEARCH("ZOLO",C144))),"PG Rent &amp; Covered Meals",IF(OR(ISNUMBER(SEARCH("GROWW",C144)),ISNUMBER(SEARCH("ZERODHA",C144)),ISNUMBER(SEARCH("MUTUAL",C144)),ISNUMBER(SEARCH("SIP",C144)),ISNUMBER(SEARCH("NIPPON",C144))),"Monthly SIP Investment",IF(OR(ISNUMBER(SEARCH("BMTC",C144)),ISNUMBER(SEARCH("BUS",C144)),ISNUMBER(SEARCH("METRO",C144)),ISNUMBER(SEARCH("CHALO",C144))),"BMTC Bus Commute",IF(OR(ISNUMBER(SEARCH("SWIGGY",C144)),ISNUMBER(SEARCH("ZOMATO",C144)),ISNUMBER(SEARCH("CANTEEN",C144)),ISNUMBER(SEARCH("LUNCH",C144)),ISNUMBER(SEARCH("FOOD",C144)),ISNUMBER(SEARCH("SUBWAY",C144))),"Daily Office Lunch (Mon–Sat)",IF(OR(ISNUMBER(SEARCH("BLINKIT",C144)),ISNUMBER(SEARCH("ZEPTO",C144)),ISNUMBER(SEARCH("RECHARGE",C144)),ISNUMBER(SEARCH("JIO",C144)),ISNUMBER(SEARCH("AIRTEL",C144)),ISNUMBER(SEARCH("PHARMACY",C144)),ISNUMBER(SEARCH("APOLLO",C144)),ISNUMBER(SEARCH("ESSENTIALS",C144)),ISNUMBER(SEARCH("LIFESTYLE",C144))),"Lifestyle &amp; Personal Essentials",IF(OR(ISNUMBER(SEARCH("EMERGENCY",C144)),ISNUMBER(SEARCH("SWEEP",C144)),ISNUMBER(SEARCH("RESERVE",C144))),"Emergency Fund Allocation","Unallocated Flex Buffer")))))))))</f>
        <v/>
      </c>
      <c r="J144" s="39" t="inlineStr"/>
      <c r="K144" s="23">
        <f>IF(C144="","",IF(J144&lt;&gt;"",J144,I144))</f>
        <v/>
      </c>
      <c r="L144" s="40">
        <f>IF(A144="","",IF(ISNUMBER(A144),TEXT(A144,"mmm-yyyy"),"Oct-2026"))</f>
        <v/>
      </c>
      <c r="M144" s="40">
        <f>IF(D144&gt;=5000,"🚨 High Value Debit (₹"&amp;TEXT(D144,"#,##0")&amp;")",IF(D144&gt;=1000,"⚡ Notable Expense","—"))</f>
        <v/>
      </c>
    </row>
    <row r="145">
      <c r="A145" s="39" t="inlineStr"/>
      <c r="B145" s="39" t="inlineStr"/>
      <c r="C145" s="39" t="inlineStr"/>
      <c r="D145" s="41" t="inlineStr"/>
      <c r="E145" s="41" t="inlineStr"/>
      <c r="F145" s="41" t="inlineStr"/>
      <c r="G145" s="39" t="inlineStr"/>
      <c r="H145" s="26">
        <f>IF(C145="","",IF(E145&gt;0,"INCOME",IF(D145&gt;0,"EXPENSE","NEUTRAL")))</f>
        <v/>
      </c>
      <c r="I145" s="39">
        <f>IF(C145="","",=IF(OR(ISNUMBER(SEARCH("STIPEND",C145)),ISNUMBER(SEARCH("SIGMASOFT",C145)),ISNUMBER(SEARCH("SALARY",C145))),"Internship Stipend",IF(OR(ISNUMBER(SEARCH("FAMILY",C145)),ISNUMBER(SEARCH("PAPA",C145)),ISNUMBER(SEARCH("MOM",C145)),ISNUMBER(SEARCH("FATHER",C145))),"Family Support",IF(OR(ISNUMBER(SEARCH("PG",C145)),ISNUMBER(SEARCH("RENT",C145)),ISNUMBER(SEARCH("STANZA",C145)),ISNUMBER(SEARCH("ZOLO",C145))),"PG Rent &amp; Covered Meals",IF(OR(ISNUMBER(SEARCH("GROWW",C145)),ISNUMBER(SEARCH("ZERODHA",C145)),ISNUMBER(SEARCH("MUTUAL",C145)),ISNUMBER(SEARCH("SIP",C145)),ISNUMBER(SEARCH("NIPPON",C145))),"Monthly SIP Investment",IF(OR(ISNUMBER(SEARCH("BMTC",C145)),ISNUMBER(SEARCH("BUS",C145)),ISNUMBER(SEARCH("METRO",C145)),ISNUMBER(SEARCH("CHALO",C145))),"BMTC Bus Commute",IF(OR(ISNUMBER(SEARCH("SWIGGY",C145)),ISNUMBER(SEARCH("ZOMATO",C145)),ISNUMBER(SEARCH("CANTEEN",C145)),ISNUMBER(SEARCH("LUNCH",C145)),ISNUMBER(SEARCH("FOOD",C145)),ISNUMBER(SEARCH("SUBWAY",C145))),"Daily Office Lunch (Mon–Sat)",IF(OR(ISNUMBER(SEARCH("BLINKIT",C145)),ISNUMBER(SEARCH("ZEPTO",C145)),ISNUMBER(SEARCH("RECHARGE",C145)),ISNUMBER(SEARCH("JIO",C145)),ISNUMBER(SEARCH("AIRTEL",C145)),ISNUMBER(SEARCH("PHARMACY",C145)),ISNUMBER(SEARCH("APOLLO",C145)),ISNUMBER(SEARCH("ESSENTIALS",C145)),ISNUMBER(SEARCH("LIFESTYLE",C145))),"Lifestyle &amp; Personal Essentials",IF(OR(ISNUMBER(SEARCH("EMERGENCY",C145)),ISNUMBER(SEARCH("SWEEP",C145)),ISNUMBER(SEARCH("RESERVE",C145))),"Emergency Fund Allocation","Unallocated Flex Buffer")))))))))</f>
        <v/>
      </c>
      <c r="J145" s="39" t="inlineStr"/>
      <c r="K145" s="23">
        <f>IF(C145="","",IF(J145&lt;&gt;"",J145,I145))</f>
        <v/>
      </c>
      <c r="L145" s="40">
        <f>IF(A145="","",IF(ISNUMBER(A145),TEXT(A145,"mmm-yyyy"),"Oct-2026"))</f>
        <v/>
      </c>
      <c r="M145" s="40">
        <f>IF(D145&gt;=5000,"🚨 High Value Debit (₹"&amp;TEXT(D145,"#,##0")&amp;")",IF(D145&gt;=1000,"⚡ Notable Expense","—"))</f>
        <v/>
      </c>
    </row>
    <row r="146">
      <c r="A146" s="39" t="inlineStr"/>
      <c r="B146" s="39" t="inlineStr"/>
      <c r="C146" s="39" t="inlineStr"/>
      <c r="D146" s="41" t="inlineStr"/>
      <c r="E146" s="41" t="inlineStr"/>
      <c r="F146" s="41" t="inlineStr"/>
      <c r="G146" s="39" t="inlineStr"/>
      <c r="H146" s="26">
        <f>IF(C146="","",IF(E146&gt;0,"INCOME",IF(D146&gt;0,"EXPENSE","NEUTRAL")))</f>
        <v/>
      </c>
      <c r="I146" s="39">
        <f>IF(C146="","",=IF(OR(ISNUMBER(SEARCH("STIPEND",C146)),ISNUMBER(SEARCH("SIGMASOFT",C146)),ISNUMBER(SEARCH("SALARY",C146))),"Internship Stipend",IF(OR(ISNUMBER(SEARCH("FAMILY",C146)),ISNUMBER(SEARCH("PAPA",C146)),ISNUMBER(SEARCH("MOM",C146)),ISNUMBER(SEARCH("FATHER",C146))),"Family Support",IF(OR(ISNUMBER(SEARCH("PG",C146)),ISNUMBER(SEARCH("RENT",C146)),ISNUMBER(SEARCH("STANZA",C146)),ISNUMBER(SEARCH("ZOLO",C146))),"PG Rent &amp; Covered Meals",IF(OR(ISNUMBER(SEARCH("GROWW",C146)),ISNUMBER(SEARCH("ZERODHA",C146)),ISNUMBER(SEARCH("MUTUAL",C146)),ISNUMBER(SEARCH("SIP",C146)),ISNUMBER(SEARCH("NIPPON",C146))),"Monthly SIP Investment",IF(OR(ISNUMBER(SEARCH("BMTC",C146)),ISNUMBER(SEARCH("BUS",C146)),ISNUMBER(SEARCH("METRO",C146)),ISNUMBER(SEARCH("CHALO",C146))),"BMTC Bus Commute",IF(OR(ISNUMBER(SEARCH("SWIGGY",C146)),ISNUMBER(SEARCH("ZOMATO",C146)),ISNUMBER(SEARCH("CANTEEN",C146)),ISNUMBER(SEARCH("LUNCH",C146)),ISNUMBER(SEARCH("FOOD",C146)),ISNUMBER(SEARCH("SUBWAY",C146))),"Daily Office Lunch (Mon–Sat)",IF(OR(ISNUMBER(SEARCH("BLINKIT",C146)),ISNUMBER(SEARCH("ZEPTO",C146)),ISNUMBER(SEARCH("RECHARGE",C146)),ISNUMBER(SEARCH("JIO",C146)),ISNUMBER(SEARCH("AIRTEL",C146)),ISNUMBER(SEARCH("PHARMACY",C146)),ISNUMBER(SEARCH("APOLLO",C146)),ISNUMBER(SEARCH("ESSENTIALS",C146)),ISNUMBER(SEARCH("LIFESTYLE",C146))),"Lifestyle &amp; Personal Essentials",IF(OR(ISNUMBER(SEARCH("EMERGENCY",C146)),ISNUMBER(SEARCH("SWEEP",C146)),ISNUMBER(SEARCH("RESERVE",C146))),"Emergency Fund Allocation","Unallocated Flex Buffer")))))))))</f>
        <v/>
      </c>
      <c r="J146" s="39" t="inlineStr"/>
      <c r="K146" s="23">
        <f>IF(C146="","",IF(J146&lt;&gt;"",J146,I146))</f>
        <v/>
      </c>
      <c r="L146" s="40">
        <f>IF(A146="","",IF(ISNUMBER(A146),TEXT(A146,"mmm-yyyy"),"Oct-2026"))</f>
        <v/>
      </c>
      <c r="M146" s="40">
        <f>IF(D146&gt;=5000,"🚨 High Value Debit (₹"&amp;TEXT(D146,"#,##0")&amp;")",IF(D146&gt;=1000,"⚡ Notable Expense","—"))</f>
        <v/>
      </c>
    </row>
    <row r="147">
      <c r="A147" s="39" t="inlineStr"/>
      <c r="B147" s="39" t="inlineStr"/>
      <c r="C147" s="39" t="inlineStr"/>
      <c r="D147" s="41" t="inlineStr"/>
      <c r="E147" s="41" t="inlineStr"/>
      <c r="F147" s="41" t="inlineStr"/>
      <c r="G147" s="39" t="inlineStr"/>
      <c r="H147" s="26">
        <f>IF(C147="","",IF(E147&gt;0,"INCOME",IF(D147&gt;0,"EXPENSE","NEUTRAL")))</f>
        <v/>
      </c>
      <c r="I147" s="39">
        <f>IF(C147="","",=IF(OR(ISNUMBER(SEARCH("STIPEND",C147)),ISNUMBER(SEARCH("SIGMASOFT",C147)),ISNUMBER(SEARCH("SALARY",C147))),"Internship Stipend",IF(OR(ISNUMBER(SEARCH("FAMILY",C147)),ISNUMBER(SEARCH("PAPA",C147)),ISNUMBER(SEARCH("MOM",C147)),ISNUMBER(SEARCH("FATHER",C147))),"Family Support",IF(OR(ISNUMBER(SEARCH("PG",C147)),ISNUMBER(SEARCH("RENT",C147)),ISNUMBER(SEARCH("STANZA",C147)),ISNUMBER(SEARCH("ZOLO",C147))),"PG Rent &amp; Covered Meals",IF(OR(ISNUMBER(SEARCH("GROWW",C147)),ISNUMBER(SEARCH("ZERODHA",C147)),ISNUMBER(SEARCH("MUTUAL",C147)),ISNUMBER(SEARCH("SIP",C147)),ISNUMBER(SEARCH("NIPPON",C147))),"Monthly SIP Investment",IF(OR(ISNUMBER(SEARCH("BMTC",C147)),ISNUMBER(SEARCH("BUS",C147)),ISNUMBER(SEARCH("METRO",C147)),ISNUMBER(SEARCH("CHALO",C147))),"BMTC Bus Commute",IF(OR(ISNUMBER(SEARCH("SWIGGY",C147)),ISNUMBER(SEARCH("ZOMATO",C147)),ISNUMBER(SEARCH("CANTEEN",C147)),ISNUMBER(SEARCH("LUNCH",C147)),ISNUMBER(SEARCH("FOOD",C147)),ISNUMBER(SEARCH("SUBWAY",C147))),"Daily Office Lunch (Mon–Sat)",IF(OR(ISNUMBER(SEARCH("BLINKIT",C147)),ISNUMBER(SEARCH("ZEPTO",C147)),ISNUMBER(SEARCH("RECHARGE",C147)),ISNUMBER(SEARCH("JIO",C147)),ISNUMBER(SEARCH("AIRTEL",C147)),ISNUMBER(SEARCH("PHARMACY",C147)),ISNUMBER(SEARCH("APOLLO",C147)),ISNUMBER(SEARCH("ESSENTIALS",C147)),ISNUMBER(SEARCH("LIFESTYLE",C147))),"Lifestyle &amp; Personal Essentials",IF(OR(ISNUMBER(SEARCH("EMERGENCY",C147)),ISNUMBER(SEARCH("SWEEP",C147)),ISNUMBER(SEARCH("RESERVE",C147))),"Emergency Fund Allocation","Unallocated Flex Buffer")))))))))</f>
        <v/>
      </c>
      <c r="J147" s="39" t="inlineStr"/>
      <c r="K147" s="23">
        <f>IF(C147="","",IF(J147&lt;&gt;"",J147,I147))</f>
        <v/>
      </c>
      <c r="L147" s="40">
        <f>IF(A147="","",IF(ISNUMBER(A147),TEXT(A147,"mmm-yyyy"),"Oct-2026"))</f>
        <v/>
      </c>
      <c r="M147" s="40">
        <f>IF(D147&gt;=5000,"🚨 High Value Debit (₹"&amp;TEXT(D147,"#,##0")&amp;")",IF(D147&gt;=1000,"⚡ Notable Expense","—"))</f>
        <v/>
      </c>
    </row>
    <row r="148">
      <c r="A148" s="39" t="inlineStr"/>
      <c r="B148" s="39" t="inlineStr"/>
      <c r="C148" s="39" t="inlineStr"/>
      <c r="D148" s="41" t="inlineStr"/>
      <c r="E148" s="41" t="inlineStr"/>
      <c r="F148" s="41" t="inlineStr"/>
      <c r="G148" s="39" t="inlineStr"/>
      <c r="H148" s="26">
        <f>IF(C148="","",IF(E148&gt;0,"INCOME",IF(D148&gt;0,"EXPENSE","NEUTRAL")))</f>
        <v/>
      </c>
      <c r="I148" s="39">
        <f>IF(C148="","",=IF(OR(ISNUMBER(SEARCH("STIPEND",C148)),ISNUMBER(SEARCH("SIGMASOFT",C148)),ISNUMBER(SEARCH("SALARY",C148))),"Internship Stipend",IF(OR(ISNUMBER(SEARCH("FAMILY",C148)),ISNUMBER(SEARCH("PAPA",C148)),ISNUMBER(SEARCH("MOM",C148)),ISNUMBER(SEARCH("FATHER",C148))),"Family Support",IF(OR(ISNUMBER(SEARCH("PG",C148)),ISNUMBER(SEARCH("RENT",C148)),ISNUMBER(SEARCH("STANZA",C148)),ISNUMBER(SEARCH("ZOLO",C148))),"PG Rent &amp; Covered Meals",IF(OR(ISNUMBER(SEARCH("GROWW",C148)),ISNUMBER(SEARCH("ZERODHA",C148)),ISNUMBER(SEARCH("MUTUAL",C148)),ISNUMBER(SEARCH("SIP",C148)),ISNUMBER(SEARCH("NIPPON",C148))),"Monthly SIP Investment",IF(OR(ISNUMBER(SEARCH("BMTC",C148)),ISNUMBER(SEARCH("BUS",C148)),ISNUMBER(SEARCH("METRO",C148)),ISNUMBER(SEARCH("CHALO",C148))),"BMTC Bus Commute",IF(OR(ISNUMBER(SEARCH("SWIGGY",C148)),ISNUMBER(SEARCH("ZOMATO",C148)),ISNUMBER(SEARCH("CANTEEN",C148)),ISNUMBER(SEARCH("LUNCH",C148)),ISNUMBER(SEARCH("FOOD",C148)),ISNUMBER(SEARCH("SUBWAY",C148))),"Daily Office Lunch (Mon–Sat)",IF(OR(ISNUMBER(SEARCH("BLINKIT",C148)),ISNUMBER(SEARCH("ZEPTO",C148)),ISNUMBER(SEARCH("RECHARGE",C148)),ISNUMBER(SEARCH("JIO",C148)),ISNUMBER(SEARCH("AIRTEL",C148)),ISNUMBER(SEARCH("PHARMACY",C148)),ISNUMBER(SEARCH("APOLLO",C148)),ISNUMBER(SEARCH("ESSENTIALS",C148)),ISNUMBER(SEARCH("LIFESTYLE",C148))),"Lifestyle &amp; Personal Essentials",IF(OR(ISNUMBER(SEARCH("EMERGENCY",C148)),ISNUMBER(SEARCH("SWEEP",C148)),ISNUMBER(SEARCH("RESERVE",C148))),"Emergency Fund Allocation","Unallocated Flex Buffer")))))))))</f>
        <v/>
      </c>
      <c r="J148" s="39" t="inlineStr"/>
      <c r="K148" s="23">
        <f>IF(C148="","",IF(J148&lt;&gt;"",J148,I148))</f>
        <v/>
      </c>
      <c r="L148" s="40">
        <f>IF(A148="","",IF(ISNUMBER(A148),TEXT(A148,"mmm-yyyy"),"Oct-2026"))</f>
        <v/>
      </c>
      <c r="M148" s="40">
        <f>IF(D148&gt;=5000,"🚨 High Value Debit (₹"&amp;TEXT(D148,"#,##0")&amp;")",IF(D148&gt;=1000,"⚡ Notable Expense","—"))</f>
        <v/>
      </c>
    </row>
    <row r="149">
      <c r="A149" s="39" t="inlineStr"/>
      <c r="B149" s="39" t="inlineStr"/>
      <c r="C149" s="39" t="inlineStr"/>
      <c r="D149" s="41" t="inlineStr"/>
      <c r="E149" s="41" t="inlineStr"/>
      <c r="F149" s="41" t="inlineStr"/>
      <c r="G149" s="39" t="inlineStr"/>
      <c r="H149" s="26">
        <f>IF(C149="","",IF(E149&gt;0,"INCOME",IF(D149&gt;0,"EXPENSE","NEUTRAL")))</f>
        <v/>
      </c>
      <c r="I149" s="39">
        <f>IF(C149="","",=IF(OR(ISNUMBER(SEARCH("STIPEND",C149)),ISNUMBER(SEARCH("SIGMASOFT",C149)),ISNUMBER(SEARCH("SALARY",C149))),"Internship Stipend",IF(OR(ISNUMBER(SEARCH("FAMILY",C149)),ISNUMBER(SEARCH("PAPA",C149)),ISNUMBER(SEARCH("MOM",C149)),ISNUMBER(SEARCH("FATHER",C149))),"Family Support",IF(OR(ISNUMBER(SEARCH("PG",C149)),ISNUMBER(SEARCH("RENT",C149)),ISNUMBER(SEARCH("STANZA",C149)),ISNUMBER(SEARCH("ZOLO",C149))),"PG Rent &amp; Covered Meals",IF(OR(ISNUMBER(SEARCH("GROWW",C149)),ISNUMBER(SEARCH("ZERODHA",C149)),ISNUMBER(SEARCH("MUTUAL",C149)),ISNUMBER(SEARCH("SIP",C149)),ISNUMBER(SEARCH("NIPPON",C149))),"Monthly SIP Investment",IF(OR(ISNUMBER(SEARCH("BMTC",C149)),ISNUMBER(SEARCH("BUS",C149)),ISNUMBER(SEARCH("METRO",C149)),ISNUMBER(SEARCH("CHALO",C149))),"BMTC Bus Commute",IF(OR(ISNUMBER(SEARCH("SWIGGY",C149)),ISNUMBER(SEARCH("ZOMATO",C149)),ISNUMBER(SEARCH("CANTEEN",C149)),ISNUMBER(SEARCH("LUNCH",C149)),ISNUMBER(SEARCH("FOOD",C149)),ISNUMBER(SEARCH("SUBWAY",C149))),"Daily Office Lunch (Mon–Sat)",IF(OR(ISNUMBER(SEARCH("BLINKIT",C149)),ISNUMBER(SEARCH("ZEPTO",C149)),ISNUMBER(SEARCH("RECHARGE",C149)),ISNUMBER(SEARCH("JIO",C149)),ISNUMBER(SEARCH("AIRTEL",C149)),ISNUMBER(SEARCH("PHARMACY",C149)),ISNUMBER(SEARCH("APOLLO",C149)),ISNUMBER(SEARCH("ESSENTIALS",C149)),ISNUMBER(SEARCH("LIFESTYLE",C149))),"Lifestyle &amp; Personal Essentials",IF(OR(ISNUMBER(SEARCH("EMERGENCY",C149)),ISNUMBER(SEARCH("SWEEP",C149)),ISNUMBER(SEARCH("RESERVE",C149))),"Emergency Fund Allocation","Unallocated Flex Buffer")))))))))</f>
        <v/>
      </c>
      <c r="J149" s="39" t="inlineStr"/>
      <c r="K149" s="23">
        <f>IF(C149="","",IF(J149&lt;&gt;"",J149,I149))</f>
        <v/>
      </c>
      <c r="L149" s="40">
        <f>IF(A149="","",IF(ISNUMBER(A149),TEXT(A149,"mmm-yyyy"),"Oct-2026"))</f>
        <v/>
      </c>
      <c r="M149" s="40">
        <f>IF(D149&gt;=5000,"🚨 High Value Debit (₹"&amp;TEXT(D149,"#,##0")&amp;")",IF(D149&gt;=1000,"⚡ Notable Expense","—"))</f>
        <v/>
      </c>
    </row>
    <row r="150">
      <c r="A150" s="39" t="inlineStr"/>
      <c r="B150" s="39" t="inlineStr"/>
      <c r="C150" s="39" t="inlineStr"/>
      <c r="D150" s="41" t="inlineStr"/>
      <c r="E150" s="41" t="inlineStr"/>
      <c r="F150" s="41" t="inlineStr"/>
      <c r="G150" s="39" t="inlineStr"/>
      <c r="H150" s="26">
        <f>IF(C150="","",IF(E150&gt;0,"INCOME",IF(D150&gt;0,"EXPENSE","NEUTRAL")))</f>
        <v/>
      </c>
      <c r="I150" s="39">
        <f>IF(C150="","",=IF(OR(ISNUMBER(SEARCH("STIPEND",C150)),ISNUMBER(SEARCH("SIGMASOFT",C150)),ISNUMBER(SEARCH("SALARY",C150))),"Internship Stipend",IF(OR(ISNUMBER(SEARCH("FAMILY",C150)),ISNUMBER(SEARCH("PAPA",C150)),ISNUMBER(SEARCH("MOM",C150)),ISNUMBER(SEARCH("FATHER",C150))),"Family Support",IF(OR(ISNUMBER(SEARCH("PG",C150)),ISNUMBER(SEARCH("RENT",C150)),ISNUMBER(SEARCH("STANZA",C150)),ISNUMBER(SEARCH("ZOLO",C150))),"PG Rent &amp; Covered Meals",IF(OR(ISNUMBER(SEARCH("GROWW",C150)),ISNUMBER(SEARCH("ZERODHA",C150)),ISNUMBER(SEARCH("MUTUAL",C150)),ISNUMBER(SEARCH("SIP",C150)),ISNUMBER(SEARCH("NIPPON",C150))),"Monthly SIP Investment",IF(OR(ISNUMBER(SEARCH("BMTC",C150)),ISNUMBER(SEARCH("BUS",C150)),ISNUMBER(SEARCH("METRO",C150)),ISNUMBER(SEARCH("CHALO",C150))),"BMTC Bus Commute",IF(OR(ISNUMBER(SEARCH("SWIGGY",C150)),ISNUMBER(SEARCH("ZOMATO",C150)),ISNUMBER(SEARCH("CANTEEN",C150)),ISNUMBER(SEARCH("LUNCH",C150)),ISNUMBER(SEARCH("FOOD",C150)),ISNUMBER(SEARCH("SUBWAY",C150))),"Daily Office Lunch (Mon–Sat)",IF(OR(ISNUMBER(SEARCH("BLINKIT",C150)),ISNUMBER(SEARCH("ZEPTO",C150)),ISNUMBER(SEARCH("RECHARGE",C150)),ISNUMBER(SEARCH("JIO",C150)),ISNUMBER(SEARCH("AIRTEL",C150)),ISNUMBER(SEARCH("PHARMACY",C150)),ISNUMBER(SEARCH("APOLLO",C150)),ISNUMBER(SEARCH("ESSENTIALS",C150)),ISNUMBER(SEARCH("LIFESTYLE",C150))),"Lifestyle &amp; Personal Essentials",IF(OR(ISNUMBER(SEARCH("EMERGENCY",C150)),ISNUMBER(SEARCH("SWEEP",C150)),ISNUMBER(SEARCH("RESERVE",C150))),"Emergency Fund Allocation","Unallocated Flex Buffer")))))))))</f>
        <v/>
      </c>
      <c r="J150" s="39" t="inlineStr"/>
      <c r="K150" s="23">
        <f>IF(C150="","",IF(J150&lt;&gt;"",J150,I150))</f>
        <v/>
      </c>
      <c r="L150" s="40">
        <f>IF(A150="","",IF(ISNUMBER(A150),TEXT(A150,"mmm-yyyy"),"Oct-2026"))</f>
        <v/>
      </c>
      <c r="M150" s="40">
        <f>IF(D150&gt;=5000,"🚨 High Value Debit (₹"&amp;TEXT(D150,"#,##0")&amp;")",IF(D150&gt;=1000,"⚡ Notable Expense","—"))</f>
        <v/>
      </c>
    </row>
    <row r="151">
      <c r="A151" s="39" t="inlineStr"/>
      <c r="B151" s="39" t="inlineStr"/>
      <c r="C151" s="39" t="inlineStr"/>
      <c r="D151" s="41" t="inlineStr"/>
      <c r="E151" s="41" t="inlineStr"/>
      <c r="F151" s="41" t="inlineStr"/>
      <c r="G151" s="39" t="inlineStr"/>
      <c r="H151" s="26">
        <f>IF(C151="","",IF(E151&gt;0,"INCOME",IF(D151&gt;0,"EXPENSE","NEUTRAL")))</f>
        <v/>
      </c>
      <c r="I151" s="39">
        <f>IF(C151="","",=IF(OR(ISNUMBER(SEARCH("STIPEND",C151)),ISNUMBER(SEARCH("SIGMASOFT",C151)),ISNUMBER(SEARCH("SALARY",C151))),"Internship Stipend",IF(OR(ISNUMBER(SEARCH("FAMILY",C151)),ISNUMBER(SEARCH("PAPA",C151)),ISNUMBER(SEARCH("MOM",C151)),ISNUMBER(SEARCH("FATHER",C151))),"Family Support",IF(OR(ISNUMBER(SEARCH("PG",C151)),ISNUMBER(SEARCH("RENT",C151)),ISNUMBER(SEARCH("STANZA",C151)),ISNUMBER(SEARCH("ZOLO",C151))),"PG Rent &amp; Covered Meals",IF(OR(ISNUMBER(SEARCH("GROWW",C151)),ISNUMBER(SEARCH("ZERODHA",C151)),ISNUMBER(SEARCH("MUTUAL",C151)),ISNUMBER(SEARCH("SIP",C151)),ISNUMBER(SEARCH("NIPPON",C151))),"Monthly SIP Investment",IF(OR(ISNUMBER(SEARCH("BMTC",C151)),ISNUMBER(SEARCH("BUS",C151)),ISNUMBER(SEARCH("METRO",C151)),ISNUMBER(SEARCH("CHALO",C151))),"BMTC Bus Commute",IF(OR(ISNUMBER(SEARCH("SWIGGY",C151)),ISNUMBER(SEARCH("ZOMATO",C151)),ISNUMBER(SEARCH("CANTEEN",C151)),ISNUMBER(SEARCH("LUNCH",C151)),ISNUMBER(SEARCH("FOOD",C151)),ISNUMBER(SEARCH("SUBWAY",C151))),"Daily Office Lunch (Mon–Sat)",IF(OR(ISNUMBER(SEARCH("BLINKIT",C151)),ISNUMBER(SEARCH("ZEPTO",C151)),ISNUMBER(SEARCH("RECHARGE",C151)),ISNUMBER(SEARCH("JIO",C151)),ISNUMBER(SEARCH("AIRTEL",C151)),ISNUMBER(SEARCH("PHARMACY",C151)),ISNUMBER(SEARCH("APOLLO",C151)),ISNUMBER(SEARCH("ESSENTIALS",C151)),ISNUMBER(SEARCH("LIFESTYLE",C151))),"Lifestyle &amp; Personal Essentials",IF(OR(ISNUMBER(SEARCH("EMERGENCY",C151)),ISNUMBER(SEARCH("SWEEP",C151)),ISNUMBER(SEARCH("RESERVE",C151))),"Emergency Fund Allocation","Unallocated Flex Buffer")))))))))</f>
        <v/>
      </c>
      <c r="J151" s="39" t="inlineStr"/>
      <c r="K151" s="23">
        <f>IF(C151="","",IF(J151&lt;&gt;"",J151,I151))</f>
        <v/>
      </c>
      <c r="L151" s="40">
        <f>IF(A151="","",IF(ISNUMBER(A151),TEXT(A151,"mmm-yyyy"),"Oct-2026"))</f>
        <v/>
      </c>
      <c r="M151" s="40">
        <f>IF(D151&gt;=5000,"🚨 High Value Debit (₹"&amp;TEXT(D151,"#,##0")&amp;")",IF(D151&gt;=1000,"⚡ Notable Expense","—"))</f>
        <v/>
      </c>
    </row>
    <row r="152">
      <c r="A152" s="39" t="inlineStr"/>
      <c r="B152" s="39" t="inlineStr"/>
      <c r="C152" s="39" t="inlineStr"/>
      <c r="D152" s="41" t="inlineStr"/>
      <c r="E152" s="41" t="inlineStr"/>
      <c r="F152" s="41" t="inlineStr"/>
      <c r="G152" s="39" t="inlineStr"/>
      <c r="H152" s="26">
        <f>IF(C152="","",IF(E152&gt;0,"INCOME",IF(D152&gt;0,"EXPENSE","NEUTRAL")))</f>
        <v/>
      </c>
      <c r="I152" s="39">
        <f>IF(C152="","",=IF(OR(ISNUMBER(SEARCH("STIPEND",C152)),ISNUMBER(SEARCH("SIGMASOFT",C152)),ISNUMBER(SEARCH("SALARY",C152))),"Internship Stipend",IF(OR(ISNUMBER(SEARCH("FAMILY",C152)),ISNUMBER(SEARCH("PAPA",C152)),ISNUMBER(SEARCH("MOM",C152)),ISNUMBER(SEARCH("FATHER",C152))),"Family Support",IF(OR(ISNUMBER(SEARCH("PG",C152)),ISNUMBER(SEARCH("RENT",C152)),ISNUMBER(SEARCH("STANZA",C152)),ISNUMBER(SEARCH("ZOLO",C152))),"PG Rent &amp; Covered Meals",IF(OR(ISNUMBER(SEARCH("GROWW",C152)),ISNUMBER(SEARCH("ZERODHA",C152)),ISNUMBER(SEARCH("MUTUAL",C152)),ISNUMBER(SEARCH("SIP",C152)),ISNUMBER(SEARCH("NIPPON",C152))),"Monthly SIP Investment",IF(OR(ISNUMBER(SEARCH("BMTC",C152)),ISNUMBER(SEARCH("BUS",C152)),ISNUMBER(SEARCH("METRO",C152)),ISNUMBER(SEARCH("CHALO",C152))),"BMTC Bus Commute",IF(OR(ISNUMBER(SEARCH("SWIGGY",C152)),ISNUMBER(SEARCH("ZOMATO",C152)),ISNUMBER(SEARCH("CANTEEN",C152)),ISNUMBER(SEARCH("LUNCH",C152)),ISNUMBER(SEARCH("FOOD",C152)),ISNUMBER(SEARCH("SUBWAY",C152))),"Daily Office Lunch (Mon–Sat)",IF(OR(ISNUMBER(SEARCH("BLINKIT",C152)),ISNUMBER(SEARCH("ZEPTO",C152)),ISNUMBER(SEARCH("RECHARGE",C152)),ISNUMBER(SEARCH("JIO",C152)),ISNUMBER(SEARCH("AIRTEL",C152)),ISNUMBER(SEARCH("PHARMACY",C152)),ISNUMBER(SEARCH("APOLLO",C152)),ISNUMBER(SEARCH("ESSENTIALS",C152)),ISNUMBER(SEARCH("LIFESTYLE",C152))),"Lifestyle &amp; Personal Essentials",IF(OR(ISNUMBER(SEARCH("EMERGENCY",C152)),ISNUMBER(SEARCH("SWEEP",C152)),ISNUMBER(SEARCH("RESERVE",C152))),"Emergency Fund Allocation","Unallocated Flex Buffer")))))))))</f>
        <v/>
      </c>
      <c r="J152" s="39" t="inlineStr"/>
      <c r="K152" s="23">
        <f>IF(C152="","",IF(J152&lt;&gt;"",J152,I152))</f>
        <v/>
      </c>
      <c r="L152" s="40">
        <f>IF(A152="","",IF(ISNUMBER(A152),TEXT(A152,"mmm-yyyy"),"Oct-2026"))</f>
        <v/>
      </c>
      <c r="M152" s="40">
        <f>IF(D152&gt;=5000,"🚨 High Value Debit (₹"&amp;TEXT(D152,"#,##0")&amp;")",IF(D152&gt;=1000,"⚡ Notable Expense","—"))</f>
        <v/>
      </c>
    </row>
    <row r="153">
      <c r="A153" s="39" t="inlineStr"/>
      <c r="B153" s="39" t="inlineStr"/>
      <c r="C153" s="39" t="inlineStr"/>
      <c r="D153" s="41" t="inlineStr"/>
      <c r="E153" s="41" t="inlineStr"/>
      <c r="F153" s="41" t="inlineStr"/>
      <c r="G153" s="39" t="inlineStr"/>
      <c r="H153" s="26">
        <f>IF(C153="","",IF(E153&gt;0,"INCOME",IF(D153&gt;0,"EXPENSE","NEUTRAL")))</f>
        <v/>
      </c>
      <c r="I153" s="39">
        <f>IF(C153="","",=IF(OR(ISNUMBER(SEARCH("STIPEND",C153)),ISNUMBER(SEARCH("SIGMASOFT",C153)),ISNUMBER(SEARCH("SALARY",C153))),"Internship Stipend",IF(OR(ISNUMBER(SEARCH("FAMILY",C153)),ISNUMBER(SEARCH("PAPA",C153)),ISNUMBER(SEARCH("MOM",C153)),ISNUMBER(SEARCH("FATHER",C153))),"Family Support",IF(OR(ISNUMBER(SEARCH("PG",C153)),ISNUMBER(SEARCH("RENT",C153)),ISNUMBER(SEARCH("STANZA",C153)),ISNUMBER(SEARCH("ZOLO",C153))),"PG Rent &amp; Covered Meals",IF(OR(ISNUMBER(SEARCH("GROWW",C153)),ISNUMBER(SEARCH("ZERODHA",C153)),ISNUMBER(SEARCH("MUTUAL",C153)),ISNUMBER(SEARCH("SIP",C153)),ISNUMBER(SEARCH("NIPPON",C153))),"Monthly SIP Investment",IF(OR(ISNUMBER(SEARCH("BMTC",C153)),ISNUMBER(SEARCH("BUS",C153)),ISNUMBER(SEARCH("METRO",C153)),ISNUMBER(SEARCH("CHALO",C153))),"BMTC Bus Commute",IF(OR(ISNUMBER(SEARCH("SWIGGY",C153)),ISNUMBER(SEARCH("ZOMATO",C153)),ISNUMBER(SEARCH("CANTEEN",C153)),ISNUMBER(SEARCH("LUNCH",C153)),ISNUMBER(SEARCH("FOOD",C153)),ISNUMBER(SEARCH("SUBWAY",C153))),"Daily Office Lunch (Mon–Sat)",IF(OR(ISNUMBER(SEARCH("BLINKIT",C153)),ISNUMBER(SEARCH("ZEPTO",C153)),ISNUMBER(SEARCH("RECHARGE",C153)),ISNUMBER(SEARCH("JIO",C153)),ISNUMBER(SEARCH("AIRTEL",C153)),ISNUMBER(SEARCH("PHARMACY",C153)),ISNUMBER(SEARCH("APOLLO",C153)),ISNUMBER(SEARCH("ESSENTIALS",C153)),ISNUMBER(SEARCH("LIFESTYLE",C153))),"Lifestyle &amp; Personal Essentials",IF(OR(ISNUMBER(SEARCH("EMERGENCY",C153)),ISNUMBER(SEARCH("SWEEP",C153)),ISNUMBER(SEARCH("RESERVE",C153))),"Emergency Fund Allocation","Unallocated Flex Buffer")))))))))</f>
        <v/>
      </c>
      <c r="J153" s="39" t="inlineStr"/>
      <c r="K153" s="23">
        <f>IF(C153="","",IF(J153&lt;&gt;"",J153,I153))</f>
        <v/>
      </c>
      <c r="L153" s="40">
        <f>IF(A153="","",IF(ISNUMBER(A153),TEXT(A153,"mmm-yyyy"),"Oct-2026"))</f>
        <v/>
      </c>
      <c r="M153" s="40">
        <f>IF(D153&gt;=5000,"🚨 High Value Debit (₹"&amp;TEXT(D153,"#,##0")&amp;")",IF(D153&gt;=1000,"⚡ Notable Expense","—"))</f>
        <v/>
      </c>
    </row>
    <row r="154">
      <c r="A154" s="39" t="inlineStr"/>
      <c r="B154" s="39" t="inlineStr"/>
      <c r="C154" s="39" t="inlineStr"/>
      <c r="D154" s="41" t="inlineStr"/>
      <c r="E154" s="41" t="inlineStr"/>
      <c r="F154" s="41" t="inlineStr"/>
      <c r="G154" s="39" t="inlineStr"/>
      <c r="H154" s="26">
        <f>IF(C154="","",IF(E154&gt;0,"INCOME",IF(D154&gt;0,"EXPENSE","NEUTRAL")))</f>
        <v/>
      </c>
      <c r="I154" s="39">
        <f>IF(C154="","",=IF(OR(ISNUMBER(SEARCH("STIPEND",C154)),ISNUMBER(SEARCH("SIGMASOFT",C154)),ISNUMBER(SEARCH("SALARY",C154))),"Internship Stipend",IF(OR(ISNUMBER(SEARCH("FAMILY",C154)),ISNUMBER(SEARCH("PAPA",C154)),ISNUMBER(SEARCH("MOM",C154)),ISNUMBER(SEARCH("FATHER",C154))),"Family Support",IF(OR(ISNUMBER(SEARCH("PG",C154)),ISNUMBER(SEARCH("RENT",C154)),ISNUMBER(SEARCH("STANZA",C154)),ISNUMBER(SEARCH("ZOLO",C154))),"PG Rent &amp; Covered Meals",IF(OR(ISNUMBER(SEARCH("GROWW",C154)),ISNUMBER(SEARCH("ZERODHA",C154)),ISNUMBER(SEARCH("MUTUAL",C154)),ISNUMBER(SEARCH("SIP",C154)),ISNUMBER(SEARCH("NIPPON",C154))),"Monthly SIP Investment",IF(OR(ISNUMBER(SEARCH("BMTC",C154)),ISNUMBER(SEARCH("BUS",C154)),ISNUMBER(SEARCH("METRO",C154)),ISNUMBER(SEARCH("CHALO",C154))),"BMTC Bus Commute",IF(OR(ISNUMBER(SEARCH("SWIGGY",C154)),ISNUMBER(SEARCH("ZOMATO",C154)),ISNUMBER(SEARCH("CANTEEN",C154)),ISNUMBER(SEARCH("LUNCH",C154)),ISNUMBER(SEARCH("FOOD",C154)),ISNUMBER(SEARCH("SUBWAY",C154))),"Daily Office Lunch (Mon–Sat)",IF(OR(ISNUMBER(SEARCH("BLINKIT",C154)),ISNUMBER(SEARCH("ZEPTO",C154)),ISNUMBER(SEARCH("RECHARGE",C154)),ISNUMBER(SEARCH("JIO",C154)),ISNUMBER(SEARCH("AIRTEL",C154)),ISNUMBER(SEARCH("PHARMACY",C154)),ISNUMBER(SEARCH("APOLLO",C154)),ISNUMBER(SEARCH("ESSENTIALS",C154)),ISNUMBER(SEARCH("LIFESTYLE",C154))),"Lifestyle &amp; Personal Essentials",IF(OR(ISNUMBER(SEARCH("EMERGENCY",C154)),ISNUMBER(SEARCH("SWEEP",C154)),ISNUMBER(SEARCH("RESERVE",C154))),"Emergency Fund Allocation","Unallocated Flex Buffer")))))))))</f>
        <v/>
      </c>
      <c r="J154" s="39" t="inlineStr"/>
      <c r="K154" s="23">
        <f>IF(C154="","",IF(J154&lt;&gt;"",J154,I154))</f>
        <v/>
      </c>
      <c r="L154" s="40">
        <f>IF(A154="","",IF(ISNUMBER(A154),TEXT(A154,"mmm-yyyy"),"Oct-2026"))</f>
        <v/>
      </c>
      <c r="M154" s="40">
        <f>IF(D154&gt;=5000,"🚨 High Value Debit (₹"&amp;TEXT(D154,"#,##0")&amp;")",IF(D154&gt;=1000,"⚡ Notable Expense","—"))</f>
        <v/>
      </c>
    </row>
    <row r="155">
      <c r="A155" s="39" t="inlineStr"/>
      <c r="B155" s="39" t="inlineStr"/>
      <c r="C155" s="39" t="inlineStr"/>
      <c r="D155" s="41" t="inlineStr"/>
      <c r="E155" s="41" t="inlineStr"/>
      <c r="F155" s="41" t="inlineStr"/>
      <c r="G155" s="39" t="inlineStr"/>
      <c r="H155" s="26">
        <f>IF(C155="","",IF(E155&gt;0,"INCOME",IF(D155&gt;0,"EXPENSE","NEUTRAL")))</f>
        <v/>
      </c>
      <c r="I155" s="39">
        <f>IF(C155="","",=IF(OR(ISNUMBER(SEARCH("STIPEND",C155)),ISNUMBER(SEARCH("SIGMASOFT",C155)),ISNUMBER(SEARCH("SALARY",C155))),"Internship Stipend",IF(OR(ISNUMBER(SEARCH("FAMILY",C155)),ISNUMBER(SEARCH("PAPA",C155)),ISNUMBER(SEARCH("MOM",C155)),ISNUMBER(SEARCH("FATHER",C155))),"Family Support",IF(OR(ISNUMBER(SEARCH("PG",C155)),ISNUMBER(SEARCH("RENT",C155)),ISNUMBER(SEARCH("STANZA",C155)),ISNUMBER(SEARCH("ZOLO",C155))),"PG Rent &amp; Covered Meals",IF(OR(ISNUMBER(SEARCH("GROWW",C155)),ISNUMBER(SEARCH("ZERODHA",C155)),ISNUMBER(SEARCH("MUTUAL",C155)),ISNUMBER(SEARCH("SIP",C155)),ISNUMBER(SEARCH("NIPPON",C155))),"Monthly SIP Investment",IF(OR(ISNUMBER(SEARCH("BMTC",C155)),ISNUMBER(SEARCH("BUS",C155)),ISNUMBER(SEARCH("METRO",C155)),ISNUMBER(SEARCH("CHALO",C155))),"BMTC Bus Commute",IF(OR(ISNUMBER(SEARCH("SWIGGY",C155)),ISNUMBER(SEARCH("ZOMATO",C155)),ISNUMBER(SEARCH("CANTEEN",C155)),ISNUMBER(SEARCH("LUNCH",C155)),ISNUMBER(SEARCH("FOOD",C155)),ISNUMBER(SEARCH("SUBWAY",C155))),"Daily Office Lunch (Mon–Sat)",IF(OR(ISNUMBER(SEARCH("BLINKIT",C155)),ISNUMBER(SEARCH("ZEPTO",C155)),ISNUMBER(SEARCH("RECHARGE",C155)),ISNUMBER(SEARCH("JIO",C155)),ISNUMBER(SEARCH("AIRTEL",C155)),ISNUMBER(SEARCH("PHARMACY",C155)),ISNUMBER(SEARCH("APOLLO",C155)),ISNUMBER(SEARCH("ESSENTIALS",C155)),ISNUMBER(SEARCH("LIFESTYLE",C155))),"Lifestyle &amp; Personal Essentials",IF(OR(ISNUMBER(SEARCH("EMERGENCY",C155)),ISNUMBER(SEARCH("SWEEP",C155)),ISNUMBER(SEARCH("RESERVE",C155))),"Emergency Fund Allocation","Unallocated Flex Buffer")))))))))</f>
        <v/>
      </c>
      <c r="J155" s="39" t="inlineStr"/>
      <c r="K155" s="23">
        <f>IF(C155="","",IF(J155&lt;&gt;"",J155,I155))</f>
        <v/>
      </c>
      <c r="L155" s="40">
        <f>IF(A155="","",IF(ISNUMBER(A155),TEXT(A155,"mmm-yyyy"),"Oct-2026"))</f>
        <v/>
      </c>
      <c r="M155" s="40">
        <f>IF(D155&gt;=5000,"🚨 High Value Debit (₹"&amp;TEXT(D155,"#,##0")&amp;")",IF(D155&gt;=1000,"⚡ Notable Expense","—"))</f>
        <v/>
      </c>
    </row>
    <row r="156">
      <c r="A156" s="39" t="inlineStr"/>
      <c r="B156" s="39" t="inlineStr"/>
      <c r="C156" s="39" t="inlineStr"/>
      <c r="D156" s="41" t="inlineStr"/>
      <c r="E156" s="41" t="inlineStr"/>
      <c r="F156" s="41" t="inlineStr"/>
      <c r="G156" s="39" t="inlineStr"/>
      <c r="H156" s="26">
        <f>IF(C156="","",IF(E156&gt;0,"INCOME",IF(D156&gt;0,"EXPENSE","NEUTRAL")))</f>
        <v/>
      </c>
      <c r="I156" s="39">
        <f>IF(C156="","",=IF(OR(ISNUMBER(SEARCH("STIPEND",C156)),ISNUMBER(SEARCH("SIGMASOFT",C156)),ISNUMBER(SEARCH("SALARY",C156))),"Internship Stipend",IF(OR(ISNUMBER(SEARCH("FAMILY",C156)),ISNUMBER(SEARCH("PAPA",C156)),ISNUMBER(SEARCH("MOM",C156)),ISNUMBER(SEARCH("FATHER",C156))),"Family Support",IF(OR(ISNUMBER(SEARCH("PG",C156)),ISNUMBER(SEARCH("RENT",C156)),ISNUMBER(SEARCH("STANZA",C156)),ISNUMBER(SEARCH("ZOLO",C156))),"PG Rent &amp; Covered Meals",IF(OR(ISNUMBER(SEARCH("GROWW",C156)),ISNUMBER(SEARCH("ZERODHA",C156)),ISNUMBER(SEARCH("MUTUAL",C156)),ISNUMBER(SEARCH("SIP",C156)),ISNUMBER(SEARCH("NIPPON",C156))),"Monthly SIP Investment",IF(OR(ISNUMBER(SEARCH("BMTC",C156)),ISNUMBER(SEARCH("BUS",C156)),ISNUMBER(SEARCH("METRO",C156)),ISNUMBER(SEARCH("CHALO",C156))),"BMTC Bus Commute",IF(OR(ISNUMBER(SEARCH("SWIGGY",C156)),ISNUMBER(SEARCH("ZOMATO",C156)),ISNUMBER(SEARCH("CANTEEN",C156)),ISNUMBER(SEARCH("LUNCH",C156)),ISNUMBER(SEARCH("FOOD",C156)),ISNUMBER(SEARCH("SUBWAY",C156))),"Daily Office Lunch (Mon–Sat)",IF(OR(ISNUMBER(SEARCH("BLINKIT",C156)),ISNUMBER(SEARCH("ZEPTO",C156)),ISNUMBER(SEARCH("RECHARGE",C156)),ISNUMBER(SEARCH("JIO",C156)),ISNUMBER(SEARCH("AIRTEL",C156)),ISNUMBER(SEARCH("PHARMACY",C156)),ISNUMBER(SEARCH("APOLLO",C156)),ISNUMBER(SEARCH("ESSENTIALS",C156)),ISNUMBER(SEARCH("LIFESTYLE",C156))),"Lifestyle &amp; Personal Essentials",IF(OR(ISNUMBER(SEARCH("EMERGENCY",C156)),ISNUMBER(SEARCH("SWEEP",C156)),ISNUMBER(SEARCH("RESERVE",C156))),"Emergency Fund Allocation","Unallocated Flex Buffer")))))))))</f>
        <v/>
      </c>
      <c r="J156" s="39" t="inlineStr"/>
      <c r="K156" s="23">
        <f>IF(C156="","",IF(J156&lt;&gt;"",J156,I156))</f>
        <v/>
      </c>
      <c r="L156" s="40">
        <f>IF(A156="","",IF(ISNUMBER(A156),TEXT(A156,"mmm-yyyy"),"Oct-2026"))</f>
        <v/>
      </c>
      <c r="M156" s="40">
        <f>IF(D156&gt;=5000,"🚨 High Value Debit (₹"&amp;TEXT(D156,"#,##0")&amp;")",IF(D156&gt;=1000,"⚡ Notable Expense","—"))</f>
        <v/>
      </c>
    </row>
    <row r="157">
      <c r="A157" s="39" t="inlineStr"/>
      <c r="B157" s="39" t="inlineStr"/>
      <c r="C157" s="39" t="inlineStr"/>
      <c r="D157" s="41" t="inlineStr"/>
      <c r="E157" s="41" t="inlineStr"/>
      <c r="F157" s="41" t="inlineStr"/>
      <c r="G157" s="39" t="inlineStr"/>
      <c r="H157" s="26">
        <f>IF(C157="","",IF(E157&gt;0,"INCOME",IF(D157&gt;0,"EXPENSE","NEUTRAL")))</f>
        <v/>
      </c>
      <c r="I157" s="39">
        <f>IF(C157="","",=IF(OR(ISNUMBER(SEARCH("STIPEND",C157)),ISNUMBER(SEARCH("SIGMASOFT",C157)),ISNUMBER(SEARCH("SALARY",C157))),"Internship Stipend",IF(OR(ISNUMBER(SEARCH("FAMILY",C157)),ISNUMBER(SEARCH("PAPA",C157)),ISNUMBER(SEARCH("MOM",C157)),ISNUMBER(SEARCH("FATHER",C157))),"Family Support",IF(OR(ISNUMBER(SEARCH("PG",C157)),ISNUMBER(SEARCH("RENT",C157)),ISNUMBER(SEARCH("STANZA",C157)),ISNUMBER(SEARCH("ZOLO",C157))),"PG Rent &amp; Covered Meals",IF(OR(ISNUMBER(SEARCH("GROWW",C157)),ISNUMBER(SEARCH("ZERODHA",C157)),ISNUMBER(SEARCH("MUTUAL",C157)),ISNUMBER(SEARCH("SIP",C157)),ISNUMBER(SEARCH("NIPPON",C157))),"Monthly SIP Investment",IF(OR(ISNUMBER(SEARCH("BMTC",C157)),ISNUMBER(SEARCH("BUS",C157)),ISNUMBER(SEARCH("METRO",C157)),ISNUMBER(SEARCH("CHALO",C157))),"BMTC Bus Commute",IF(OR(ISNUMBER(SEARCH("SWIGGY",C157)),ISNUMBER(SEARCH("ZOMATO",C157)),ISNUMBER(SEARCH("CANTEEN",C157)),ISNUMBER(SEARCH("LUNCH",C157)),ISNUMBER(SEARCH("FOOD",C157)),ISNUMBER(SEARCH("SUBWAY",C157))),"Daily Office Lunch (Mon–Sat)",IF(OR(ISNUMBER(SEARCH("BLINKIT",C157)),ISNUMBER(SEARCH("ZEPTO",C157)),ISNUMBER(SEARCH("RECHARGE",C157)),ISNUMBER(SEARCH("JIO",C157)),ISNUMBER(SEARCH("AIRTEL",C157)),ISNUMBER(SEARCH("PHARMACY",C157)),ISNUMBER(SEARCH("APOLLO",C157)),ISNUMBER(SEARCH("ESSENTIALS",C157)),ISNUMBER(SEARCH("LIFESTYLE",C157))),"Lifestyle &amp; Personal Essentials",IF(OR(ISNUMBER(SEARCH("EMERGENCY",C157)),ISNUMBER(SEARCH("SWEEP",C157)),ISNUMBER(SEARCH("RESERVE",C157))),"Emergency Fund Allocation","Unallocated Flex Buffer")))))))))</f>
        <v/>
      </c>
      <c r="J157" s="39" t="inlineStr"/>
      <c r="K157" s="23">
        <f>IF(C157="","",IF(J157&lt;&gt;"",J157,I157))</f>
        <v/>
      </c>
      <c r="L157" s="40">
        <f>IF(A157="","",IF(ISNUMBER(A157),TEXT(A157,"mmm-yyyy"),"Oct-2026"))</f>
        <v/>
      </c>
      <c r="M157" s="40">
        <f>IF(D157&gt;=5000,"🚨 High Value Debit (₹"&amp;TEXT(D157,"#,##0")&amp;")",IF(D157&gt;=1000,"⚡ Notable Expense","—"))</f>
        <v/>
      </c>
    </row>
    <row r="158">
      <c r="A158" s="39" t="inlineStr"/>
      <c r="B158" s="39" t="inlineStr"/>
      <c r="C158" s="39" t="inlineStr"/>
      <c r="D158" s="41" t="inlineStr"/>
      <c r="E158" s="41" t="inlineStr"/>
      <c r="F158" s="41" t="inlineStr"/>
      <c r="G158" s="39" t="inlineStr"/>
      <c r="H158" s="26">
        <f>IF(C158="","",IF(E158&gt;0,"INCOME",IF(D158&gt;0,"EXPENSE","NEUTRAL")))</f>
        <v/>
      </c>
      <c r="I158" s="39">
        <f>IF(C158="","",=IF(OR(ISNUMBER(SEARCH("STIPEND",C158)),ISNUMBER(SEARCH("SIGMASOFT",C158)),ISNUMBER(SEARCH("SALARY",C158))),"Internship Stipend",IF(OR(ISNUMBER(SEARCH("FAMILY",C158)),ISNUMBER(SEARCH("PAPA",C158)),ISNUMBER(SEARCH("MOM",C158)),ISNUMBER(SEARCH("FATHER",C158))),"Family Support",IF(OR(ISNUMBER(SEARCH("PG",C158)),ISNUMBER(SEARCH("RENT",C158)),ISNUMBER(SEARCH("STANZA",C158)),ISNUMBER(SEARCH("ZOLO",C158))),"PG Rent &amp; Covered Meals",IF(OR(ISNUMBER(SEARCH("GROWW",C158)),ISNUMBER(SEARCH("ZERODHA",C158)),ISNUMBER(SEARCH("MUTUAL",C158)),ISNUMBER(SEARCH("SIP",C158)),ISNUMBER(SEARCH("NIPPON",C158))),"Monthly SIP Investment",IF(OR(ISNUMBER(SEARCH("BMTC",C158)),ISNUMBER(SEARCH("BUS",C158)),ISNUMBER(SEARCH("METRO",C158)),ISNUMBER(SEARCH("CHALO",C158))),"BMTC Bus Commute",IF(OR(ISNUMBER(SEARCH("SWIGGY",C158)),ISNUMBER(SEARCH("ZOMATO",C158)),ISNUMBER(SEARCH("CANTEEN",C158)),ISNUMBER(SEARCH("LUNCH",C158)),ISNUMBER(SEARCH("FOOD",C158)),ISNUMBER(SEARCH("SUBWAY",C158))),"Daily Office Lunch (Mon–Sat)",IF(OR(ISNUMBER(SEARCH("BLINKIT",C158)),ISNUMBER(SEARCH("ZEPTO",C158)),ISNUMBER(SEARCH("RECHARGE",C158)),ISNUMBER(SEARCH("JIO",C158)),ISNUMBER(SEARCH("AIRTEL",C158)),ISNUMBER(SEARCH("PHARMACY",C158)),ISNUMBER(SEARCH("APOLLO",C158)),ISNUMBER(SEARCH("ESSENTIALS",C158)),ISNUMBER(SEARCH("LIFESTYLE",C158))),"Lifestyle &amp; Personal Essentials",IF(OR(ISNUMBER(SEARCH("EMERGENCY",C158)),ISNUMBER(SEARCH("SWEEP",C158)),ISNUMBER(SEARCH("RESERVE",C158))),"Emergency Fund Allocation","Unallocated Flex Buffer")))))))))</f>
        <v/>
      </c>
      <c r="J158" s="39" t="inlineStr"/>
      <c r="K158" s="23">
        <f>IF(C158="","",IF(J158&lt;&gt;"",J158,I158))</f>
        <v/>
      </c>
      <c r="L158" s="40">
        <f>IF(A158="","",IF(ISNUMBER(A158),TEXT(A158,"mmm-yyyy"),"Oct-2026"))</f>
        <v/>
      </c>
      <c r="M158" s="40">
        <f>IF(D158&gt;=5000,"🚨 High Value Debit (₹"&amp;TEXT(D158,"#,##0")&amp;")",IF(D158&gt;=1000,"⚡ Notable Expense","—"))</f>
        <v/>
      </c>
    </row>
    <row r="159">
      <c r="A159" s="39" t="inlineStr"/>
      <c r="B159" s="39" t="inlineStr"/>
      <c r="C159" s="39" t="inlineStr"/>
      <c r="D159" s="41" t="inlineStr"/>
      <c r="E159" s="41" t="inlineStr"/>
      <c r="F159" s="41" t="inlineStr"/>
      <c r="G159" s="39" t="inlineStr"/>
      <c r="H159" s="26">
        <f>IF(C159="","",IF(E159&gt;0,"INCOME",IF(D159&gt;0,"EXPENSE","NEUTRAL")))</f>
        <v/>
      </c>
      <c r="I159" s="39">
        <f>IF(C159="","",=IF(OR(ISNUMBER(SEARCH("STIPEND",C159)),ISNUMBER(SEARCH("SIGMASOFT",C159)),ISNUMBER(SEARCH("SALARY",C159))),"Internship Stipend",IF(OR(ISNUMBER(SEARCH("FAMILY",C159)),ISNUMBER(SEARCH("PAPA",C159)),ISNUMBER(SEARCH("MOM",C159)),ISNUMBER(SEARCH("FATHER",C159))),"Family Support",IF(OR(ISNUMBER(SEARCH("PG",C159)),ISNUMBER(SEARCH("RENT",C159)),ISNUMBER(SEARCH("STANZA",C159)),ISNUMBER(SEARCH("ZOLO",C159))),"PG Rent &amp; Covered Meals",IF(OR(ISNUMBER(SEARCH("GROWW",C159)),ISNUMBER(SEARCH("ZERODHA",C159)),ISNUMBER(SEARCH("MUTUAL",C159)),ISNUMBER(SEARCH("SIP",C159)),ISNUMBER(SEARCH("NIPPON",C159))),"Monthly SIP Investment",IF(OR(ISNUMBER(SEARCH("BMTC",C159)),ISNUMBER(SEARCH("BUS",C159)),ISNUMBER(SEARCH("METRO",C159)),ISNUMBER(SEARCH("CHALO",C159))),"BMTC Bus Commute",IF(OR(ISNUMBER(SEARCH("SWIGGY",C159)),ISNUMBER(SEARCH("ZOMATO",C159)),ISNUMBER(SEARCH("CANTEEN",C159)),ISNUMBER(SEARCH("LUNCH",C159)),ISNUMBER(SEARCH("FOOD",C159)),ISNUMBER(SEARCH("SUBWAY",C159))),"Daily Office Lunch (Mon–Sat)",IF(OR(ISNUMBER(SEARCH("BLINKIT",C159)),ISNUMBER(SEARCH("ZEPTO",C159)),ISNUMBER(SEARCH("RECHARGE",C159)),ISNUMBER(SEARCH("JIO",C159)),ISNUMBER(SEARCH("AIRTEL",C159)),ISNUMBER(SEARCH("PHARMACY",C159)),ISNUMBER(SEARCH("APOLLO",C159)),ISNUMBER(SEARCH("ESSENTIALS",C159)),ISNUMBER(SEARCH("LIFESTYLE",C159))),"Lifestyle &amp; Personal Essentials",IF(OR(ISNUMBER(SEARCH("EMERGENCY",C159)),ISNUMBER(SEARCH("SWEEP",C159)),ISNUMBER(SEARCH("RESERVE",C159))),"Emergency Fund Allocation","Unallocated Flex Buffer")))))))))</f>
        <v/>
      </c>
      <c r="J159" s="39" t="inlineStr"/>
      <c r="K159" s="23">
        <f>IF(C159="","",IF(J159&lt;&gt;"",J159,I159))</f>
        <v/>
      </c>
      <c r="L159" s="40">
        <f>IF(A159="","",IF(ISNUMBER(A159),TEXT(A159,"mmm-yyyy"),"Oct-2026"))</f>
        <v/>
      </c>
      <c r="M159" s="40">
        <f>IF(D159&gt;=5000,"🚨 High Value Debit (₹"&amp;TEXT(D159,"#,##0")&amp;")",IF(D159&gt;=1000,"⚡ Notable Expense","—"))</f>
        <v/>
      </c>
    </row>
    <row r="160">
      <c r="A160" s="39" t="inlineStr"/>
      <c r="B160" s="39" t="inlineStr"/>
      <c r="C160" s="39" t="inlineStr"/>
      <c r="D160" s="41" t="inlineStr"/>
      <c r="E160" s="41" t="inlineStr"/>
      <c r="F160" s="41" t="inlineStr"/>
      <c r="G160" s="39" t="inlineStr"/>
      <c r="H160" s="26">
        <f>IF(C160="","",IF(E160&gt;0,"INCOME",IF(D160&gt;0,"EXPENSE","NEUTRAL")))</f>
        <v/>
      </c>
      <c r="I160" s="39">
        <f>IF(C160="","",=IF(OR(ISNUMBER(SEARCH("STIPEND",C160)),ISNUMBER(SEARCH("SIGMASOFT",C160)),ISNUMBER(SEARCH("SALARY",C160))),"Internship Stipend",IF(OR(ISNUMBER(SEARCH("FAMILY",C160)),ISNUMBER(SEARCH("PAPA",C160)),ISNUMBER(SEARCH("MOM",C160)),ISNUMBER(SEARCH("FATHER",C160))),"Family Support",IF(OR(ISNUMBER(SEARCH("PG",C160)),ISNUMBER(SEARCH("RENT",C160)),ISNUMBER(SEARCH("STANZA",C160)),ISNUMBER(SEARCH("ZOLO",C160))),"PG Rent &amp; Covered Meals",IF(OR(ISNUMBER(SEARCH("GROWW",C160)),ISNUMBER(SEARCH("ZERODHA",C160)),ISNUMBER(SEARCH("MUTUAL",C160)),ISNUMBER(SEARCH("SIP",C160)),ISNUMBER(SEARCH("NIPPON",C160))),"Monthly SIP Investment",IF(OR(ISNUMBER(SEARCH("BMTC",C160)),ISNUMBER(SEARCH("BUS",C160)),ISNUMBER(SEARCH("METRO",C160)),ISNUMBER(SEARCH("CHALO",C160))),"BMTC Bus Commute",IF(OR(ISNUMBER(SEARCH("SWIGGY",C160)),ISNUMBER(SEARCH("ZOMATO",C160)),ISNUMBER(SEARCH("CANTEEN",C160)),ISNUMBER(SEARCH("LUNCH",C160)),ISNUMBER(SEARCH("FOOD",C160)),ISNUMBER(SEARCH("SUBWAY",C160))),"Daily Office Lunch (Mon–Sat)",IF(OR(ISNUMBER(SEARCH("BLINKIT",C160)),ISNUMBER(SEARCH("ZEPTO",C160)),ISNUMBER(SEARCH("RECHARGE",C160)),ISNUMBER(SEARCH("JIO",C160)),ISNUMBER(SEARCH("AIRTEL",C160)),ISNUMBER(SEARCH("PHARMACY",C160)),ISNUMBER(SEARCH("APOLLO",C160)),ISNUMBER(SEARCH("ESSENTIALS",C160)),ISNUMBER(SEARCH("LIFESTYLE",C160))),"Lifestyle &amp; Personal Essentials",IF(OR(ISNUMBER(SEARCH("EMERGENCY",C160)),ISNUMBER(SEARCH("SWEEP",C160)),ISNUMBER(SEARCH("RESERVE",C160))),"Emergency Fund Allocation","Unallocated Flex Buffer")))))))))</f>
        <v/>
      </c>
      <c r="J160" s="39" t="inlineStr"/>
      <c r="K160" s="23">
        <f>IF(C160="","",IF(J160&lt;&gt;"",J160,I160))</f>
        <v/>
      </c>
      <c r="L160" s="40">
        <f>IF(A160="","",IF(ISNUMBER(A160),TEXT(A160,"mmm-yyyy"),"Oct-2026"))</f>
        <v/>
      </c>
      <c r="M160" s="40">
        <f>IF(D160&gt;=5000,"🚨 High Value Debit (₹"&amp;TEXT(D160,"#,##0")&amp;")",IF(D160&gt;=1000,"⚡ Notable Expense","—"))</f>
        <v/>
      </c>
    </row>
    <row r="161">
      <c r="A161" s="39" t="inlineStr"/>
      <c r="B161" s="39" t="inlineStr"/>
      <c r="C161" s="39" t="inlineStr"/>
      <c r="D161" s="41" t="inlineStr"/>
      <c r="E161" s="41" t="inlineStr"/>
      <c r="F161" s="41" t="inlineStr"/>
      <c r="G161" s="39" t="inlineStr"/>
      <c r="H161" s="26">
        <f>IF(C161="","",IF(E161&gt;0,"INCOME",IF(D161&gt;0,"EXPENSE","NEUTRAL")))</f>
        <v/>
      </c>
      <c r="I161" s="39">
        <f>IF(C161="","",=IF(OR(ISNUMBER(SEARCH("STIPEND",C161)),ISNUMBER(SEARCH("SIGMASOFT",C161)),ISNUMBER(SEARCH("SALARY",C161))),"Internship Stipend",IF(OR(ISNUMBER(SEARCH("FAMILY",C161)),ISNUMBER(SEARCH("PAPA",C161)),ISNUMBER(SEARCH("MOM",C161)),ISNUMBER(SEARCH("FATHER",C161))),"Family Support",IF(OR(ISNUMBER(SEARCH("PG",C161)),ISNUMBER(SEARCH("RENT",C161)),ISNUMBER(SEARCH("STANZA",C161)),ISNUMBER(SEARCH("ZOLO",C161))),"PG Rent &amp; Covered Meals",IF(OR(ISNUMBER(SEARCH("GROWW",C161)),ISNUMBER(SEARCH("ZERODHA",C161)),ISNUMBER(SEARCH("MUTUAL",C161)),ISNUMBER(SEARCH("SIP",C161)),ISNUMBER(SEARCH("NIPPON",C161))),"Monthly SIP Investment",IF(OR(ISNUMBER(SEARCH("BMTC",C161)),ISNUMBER(SEARCH("BUS",C161)),ISNUMBER(SEARCH("METRO",C161)),ISNUMBER(SEARCH("CHALO",C161))),"BMTC Bus Commute",IF(OR(ISNUMBER(SEARCH("SWIGGY",C161)),ISNUMBER(SEARCH("ZOMATO",C161)),ISNUMBER(SEARCH("CANTEEN",C161)),ISNUMBER(SEARCH("LUNCH",C161)),ISNUMBER(SEARCH("FOOD",C161)),ISNUMBER(SEARCH("SUBWAY",C161))),"Daily Office Lunch (Mon–Sat)",IF(OR(ISNUMBER(SEARCH("BLINKIT",C161)),ISNUMBER(SEARCH("ZEPTO",C161)),ISNUMBER(SEARCH("RECHARGE",C161)),ISNUMBER(SEARCH("JIO",C161)),ISNUMBER(SEARCH("AIRTEL",C161)),ISNUMBER(SEARCH("PHARMACY",C161)),ISNUMBER(SEARCH("APOLLO",C161)),ISNUMBER(SEARCH("ESSENTIALS",C161)),ISNUMBER(SEARCH("LIFESTYLE",C161))),"Lifestyle &amp; Personal Essentials",IF(OR(ISNUMBER(SEARCH("EMERGENCY",C161)),ISNUMBER(SEARCH("SWEEP",C161)),ISNUMBER(SEARCH("RESERVE",C161))),"Emergency Fund Allocation","Unallocated Flex Buffer")))))))))</f>
        <v/>
      </c>
      <c r="J161" s="39" t="inlineStr"/>
      <c r="K161" s="23">
        <f>IF(C161="","",IF(J161&lt;&gt;"",J161,I161))</f>
        <v/>
      </c>
      <c r="L161" s="40">
        <f>IF(A161="","",IF(ISNUMBER(A161),TEXT(A161,"mmm-yyyy"),"Oct-2026"))</f>
        <v/>
      </c>
      <c r="M161" s="40">
        <f>IF(D161&gt;=5000,"🚨 High Value Debit (₹"&amp;TEXT(D161,"#,##0")&amp;")",IF(D161&gt;=1000,"⚡ Notable Expense","—"))</f>
        <v/>
      </c>
    </row>
    <row r="162">
      <c r="A162" s="39" t="inlineStr"/>
      <c r="B162" s="39" t="inlineStr"/>
      <c r="C162" s="39" t="inlineStr"/>
      <c r="D162" s="41" t="inlineStr"/>
      <c r="E162" s="41" t="inlineStr"/>
      <c r="F162" s="41" t="inlineStr"/>
      <c r="G162" s="39" t="inlineStr"/>
      <c r="H162" s="26">
        <f>IF(C162="","",IF(E162&gt;0,"INCOME",IF(D162&gt;0,"EXPENSE","NEUTRAL")))</f>
        <v/>
      </c>
      <c r="I162" s="39">
        <f>IF(C162="","",=IF(OR(ISNUMBER(SEARCH("STIPEND",C162)),ISNUMBER(SEARCH("SIGMASOFT",C162)),ISNUMBER(SEARCH("SALARY",C162))),"Internship Stipend",IF(OR(ISNUMBER(SEARCH("FAMILY",C162)),ISNUMBER(SEARCH("PAPA",C162)),ISNUMBER(SEARCH("MOM",C162)),ISNUMBER(SEARCH("FATHER",C162))),"Family Support",IF(OR(ISNUMBER(SEARCH("PG",C162)),ISNUMBER(SEARCH("RENT",C162)),ISNUMBER(SEARCH("STANZA",C162)),ISNUMBER(SEARCH("ZOLO",C162))),"PG Rent &amp; Covered Meals",IF(OR(ISNUMBER(SEARCH("GROWW",C162)),ISNUMBER(SEARCH("ZERODHA",C162)),ISNUMBER(SEARCH("MUTUAL",C162)),ISNUMBER(SEARCH("SIP",C162)),ISNUMBER(SEARCH("NIPPON",C162))),"Monthly SIP Investment",IF(OR(ISNUMBER(SEARCH("BMTC",C162)),ISNUMBER(SEARCH("BUS",C162)),ISNUMBER(SEARCH("METRO",C162)),ISNUMBER(SEARCH("CHALO",C162))),"BMTC Bus Commute",IF(OR(ISNUMBER(SEARCH("SWIGGY",C162)),ISNUMBER(SEARCH("ZOMATO",C162)),ISNUMBER(SEARCH("CANTEEN",C162)),ISNUMBER(SEARCH("LUNCH",C162)),ISNUMBER(SEARCH("FOOD",C162)),ISNUMBER(SEARCH("SUBWAY",C162))),"Daily Office Lunch (Mon–Sat)",IF(OR(ISNUMBER(SEARCH("BLINKIT",C162)),ISNUMBER(SEARCH("ZEPTO",C162)),ISNUMBER(SEARCH("RECHARGE",C162)),ISNUMBER(SEARCH("JIO",C162)),ISNUMBER(SEARCH("AIRTEL",C162)),ISNUMBER(SEARCH("PHARMACY",C162)),ISNUMBER(SEARCH("APOLLO",C162)),ISNUMBER(SEARCH("ESSENTIALS",C162)),ISNUMBER(SEARCH("LIFESTYLE",C162))),"Lifestyle &amp; Personal Essentials",IF(OR(ISNUMBER(SEARCH("EMERGENCY",C162)),ISNUMBER(SEARCH("SWEEP",C162)),ISNUMBER(SEARCH("RESERVE",C162))),"Emergency Fund Allocation","Unallocated Flex Buffer")))))))))</f>
        <v/>
      </c>
      <c r="J162" s="39" t="inlineStr"/>
      <c r="K162" s="23">
        <f>IF(C162="","",IF(J162&lt;&gt;"",J162,I162))</f>
        <v/>
      </c>
      <c r="L162" s="40">
        <f>IF(A162="","",IF(ISNUMBER(A162),TEXT(A162,"mmm-yyyy"),"Oct-2026"))</f>
        <v/>
      </c>
      <c r="M162" s="40">
        <f>IF(D162&gt;=5000,"🚨 High Value Debit (₹"&amp;TEXT(D162,"#,##0")&amp;")",IF(D162&gt;=1000,"⚡ Notable Expense","—"))</f>
        <v/>
      </c>
    </row>
    <row r="163">
      <c r="A163" s="39" t="inlineStr"/>
      <c r="B163" s="39" t="inlineStr"/>
      <c r="C163" s="39" t="inlineStr"/>
      <c r="D163" s="41" t="inlineStr"/>
      <c r="E163" s="41" t="inlineStr"/>
      <c r="F163" s="41" t="inlineStr"/>
      <c r="G163" s="39" t="inlineStr"/>
      <c r="H163" s="26">
        <f>IF(C163="","",IF(E163&gt;0,"INCOME",IF(D163&gt;0,"EXPENSE","NEUTRAL")))</f>
        <v/>
      </c>
      <c r="I163" s="39">
        <f>IF(C163="","",=IF(OR(ISNUMBER(SEARCH("STIPEND",C163)),ISNUMBER(SEARCH("SIGMASOFT",C163)),ISNUMBER(SEARCH("SALARY",C163))),"Internship Stipend",IF(OR(ISNUMBER(SEARCH("FAMILY",C163)),ISNUMBER(SEARCH("PAPA",C163)),ISNUMBER(SEARCH("MOM",C163)),ISNUMBER(SEARCH("FATHER",C163))),"Family Support",IF(OR(ISNUMBER(SEARCH("PG",C163)),ISNUMBER(SEARCH("RENT",C163)),ISNUMBER(SEARCH("STANZA",C163)),ISNUMBER(SEARCH("ZOLO",C163))),"PG Rent &amp; Covered Meals",IF(OR(ISNUMBER(SEARCH("GROWW",C163)),ISNUMBER(SEARCH("ZERODHA",C163)),ISNUMBER(SEARCH("MUTUAL",C163)),ISNUMBER(SEARCH("SIP",C163)),ISNUMBER(SEARCH("NIPPON",C163))),"Monthly SIP Investment",IF(OR(ISNUMBER(SEARCH("BMTC",C163)),ISNUMBER(SEARCH("BUS",C163)),ISNUMBER(SEARCH("METRO",C163)),ISNUMBER(SEARCH("CHALO",C163))),"BMTC Bus Commute",IF(OR(ISNUMBER(SEARCH("SWIGGY",C163)),ISNUMBER(SEARCH("ZOMATO",C163)),ISNUMBER(SEARCH("CANTEEN",C163)),ISNUMBER(SEARCH("LUNCH",C163)),ISNUMBER(SEARCH("FOOD",C163)),ISNUMBER(SEARCH("SUBWAY",C163))),"Daily Office Lunch (Mon–Sat)",IF(OR(ISNUMBER(SEARCH("BLINKIT",C163)),ISNUMBER(SEARCH("ZEPTO",C163)),ISNUMBER(SEARCH("RECHARGE",C163)),ISNUMBER(SEARCH("JIO",C163)),ISNUMBER(SEARCH("AIRTEL",C163)),ISNUMBER(SEARCH("PHARMACY",C163)),ISNUMBER(SEARCH("APOLLO",C163)),ISNUMBER(SEARCH("ESSENTIALS",C163)),ISNUMBER(SEARCH("LIFESTYLE",C163))),"Lifestyle &amp; Personal Essentials",IF(OR(ISNUMBER(SEARCH("EMERGENCY",C163)),ISNUMBER(SEARCH("SWEEP",C163)),ISNUMBER(SEARCH("RESERVE",C163))),"Emergency Fund Allocation","Unallocated Flex Buffer")))))))))</f>
        <v/>
      </c>
      <c r="J163" s="39" t="inlineStr"/>
      <c r="K163" s="23">
        <f>IF(C163="","",IF(J163&lt;&gt;"",J163,I163))</f>
        <v/>
      </c>
      <c r="L163" s="40">
        <f>IF(A163="","",IF(ISNUMBER(A163),TEXT(A163,"mmm-yyyy"),"Oct-2026"))</f>
        <v/>
      </c>
      <c r="M163" s="40">
        <f>IF(D163&gt;=5000,"🚨 High Value Debit (₹"&amp;TEXT(D163,"#,##0")&amp;")",IF(D163&gt;=1000,"⚡ Notable Expense","—"))</f>
        <v/>
      </c>
    </row>
    <row r="164">
      <c r="A164" s="39" t="inlineStr"/>
      <c r="B164" s="39" t="inlineStr"/>
      <c r="C164" s="39" t="inlineStr"/>
      <c r="D164" s="41" t="inlineStr"/>
      <c r="E164" s="41" t="inlineStr"/>
      <c r="F164" s="41" t="inlineStr"/>
      <c r="G164" s="39" t="inlineStr"/>
      <c r="H164" s="26">
        <f>IF(C164="","",IF(E164&gt;0,"INCOME",IF(D164&gt;0,"EXPENSE","NEUTRAL")))</f>
        <v/>
      </c>
      <c r="I164" s="39">
        <f>IF(C164="","",=IF(OR(ISNUMBER(SEARCH("STIPEND",C164)),ISNUMBER(SEARCH("SIGMASOFT",C164)),ISNUMBER(SEARCH("SALARY",C164))),"Internship Stipend",IF(OR(ISNUMBER(SEARCH("FAMILY",C164)),ISNUMBER(SEARCH("PAPA",C164)),ISNUMBER(SEARCH("MOM",C164)),ISNUMBER(SEARCH("FATHER",C164))),"Family Support",IF(OR(ISNUMBER(SEARCH("PG",C164)),ISNUMBER(SEARCH("RENT",C164)),ISNUMBER(SEARCH("STANZA",C164)),ISNUMBER(SEARCH("ZOLO",C164))),"PG Rent &amp; Covered Meals",IF(OR(ISNUMBER(SEARCH("GROWW",C164)),ISNUMBER(SEARCH("ZERODHA",C164)),ISNUMBER(SEARCH("MUTUAL",C164)),ISNUMBER(SEARCH("SIP",C164)),ISNUMBER(SEARCH("NIPPON",C164))),"Monthly SIP Investment",IF(OR(ISNUMBER(SEARCH("BMTC",C164)),ISNUMBER(SEARCH("BUS",C164)),ISNUMBER(SEARCH("METRO",C164)),ISNUMBER(SEARCH("CHALO",C164))),"BMTC Bus Commute",IF(OR(ISNUMBER(SEARCH("SWIGGY",C164)),ISNUMBER(SEARCH("ZOMATO",C164)),ISNUMBER(SEARCH("CANTEEN",C164)),ISNUMBER(SEARCH("LUNCH",C164)),ISNUMBER(SEARCH("FOOD",C164)),ISNUMBER(SEARCH("SUBWAY",C164))),"Daily Office Lunch (Mon–Sat)",IF(OR(ISNUMBER(SEARCH("BLINKIT",C164)),ISNUMBER(SEARCH("ZEPTO",C164)),ISNUMBER(SEARCH("RECHARGE",C164)),ISNUMBER(SEARCH("JIO",C164)),ISNUMBER(SEARCH("AIRTEL",C164)),ISNUMBER(SEARCH("PHARMACY",C164)),ISNUMBER(SEARCH("APOLLO",C164)),ISNUMBER(SEARCH("ESSENTIALS",C164)),ISNUMBER(SEARCH("LIFESTYLE",C164))),"Lifestyle &amp; Personal Essentials",IF(OR(ISNUMBER(SEARCH("EMERGENCY",C164)),ISNUMBER(SEARCH("SWEEP",C164)),ISNUMBER(SEARCH("RESERVE",C164))),"Emergency Fund Allocation","Unallocated Flex Buffer")))))))))</f>
        <v/>
      </c>
      <c r="J164" s="39" t="inlineStr"/>
      <c r="K164" s="23">
        <f>IF(C164="","",IF(J164&lt;&gt;"",J164,I164))</f>
        <v/>
      </c>
      <c r="L164" s="40">
        <f>IF(A164="","",IF(ISNUMBER(A164),TEXT(A164,"mmm-yyyy"),"Oct-2026"))</f>
        <v/>
      </c>
      <c r="M164" s="40">
        <f>IF(D164&gt;=5000,"🚨 High Value Debit (₹"&amp;TEXT(D164,"#,##0")&amp;")",IF(D164&gt;=1000,"⚡ Notable Expense","—"))</f>
        <v/>
      </c>
    </row>
    <row r="165">
      <c r="A165" s="39" t="inlineStr"/>
      <c r="B165" s="39" t="inlineStr"/>
      <c r="C165" s="39" t="inlineStr"/>
      <c r="D165" s="41" t="inlineStr"/>
      <c r="E165" s="41" t="inlineStr"/>
      <c r="F165" s="41" t="inlineStr"/>
      <c r="G165" s="39" t="inlineStr"/>
      <c r="H165" s="26">
        <f>IF(C165="","",IF(E165&gt;0,"INCOME",IF(D165&gt;0,"EXPENSE","NEUTRAL")))</f>
        <v/>
      </c>
      <c r="I165" s="39">
        <f>IF(C165="","",=IF(OR(ISNUMBER(SEARCH("STIPEND",C165)),ISNUMBER(SEARCH("SIGMASOFT",C165)),ISNUMBER(SEARCH("SALARY",C165))),"Internship Stipend",IF(OR(ISNUMBER(SEARCH("FAMILY",C165)),ISNUMBER(SEARCH("PAPA",C165)),ISNUMBER(SEARCH("MOM",C165)),ISNUMBER(SEARCH("FATHER",C165))),"Family Support",IF(OR(ISNUMBER(SEARCH("PG",C165)),ISNUMBER(SEARCH("RENT",C165)),ISNUMBER(SEARCH("STANZA",C165)),ISNUMBER(SEARCH("ZOLO",C165))),"PG Rent &amp; Covered Meals",IF(OR(ISNUMBER(SEARCH("GROWW",C165)),ISNUMBER(SEARCH("ZERODHA",C165)),ISNUMBER(SEARCH("MUTUAL",C165)),ISNUMBER(SEARCH("SIP",C165)),ISNUMBER(SEARCH("NIPPON",C165))),"Monthly SIP Investment",IF(OR(ISNUMBER(SEARCH("BMTC",C165)),ISNUMBER(SEARCH("BUS",C165)),ISNUMBER(SEARCH("METRO",C165)),ISNUMBER(SEARCH("CHALO",C165))),"BMTC Bus Commute",IF(OR(ISNUMBER(SEARCH("SWIGGY",C165)),ISNUMBER(SEARCH("ZOMATO",C165)),ISNUMBER(SEARCH("CANTEEN",C165)),ISNUMBER(SEARCH("LUNCH",C165)),ISNUMBER(SEARCH("FOOD",C165)),ISNUMBER(SEARCH("SUBWAY",C165))),"Daily Office Lunch (Mon–Sat)",IF(OR(ISNUMBER(SEARCH("BLINKIT",C165)),ISNUMBER(SEARCH("ZEPTO",C165)),ISNUMBER(SEARCH("RECHARGE",C165)),ISNUMBER(SEARCH("JIO",C165)),ISNUMBER(SEARCH("AIRTEL",C165)),ISNUMBER(SEARCH("PHARMACY",C165)),ISNUMBER(SEARCH("APOLLO",C165)),ISNUMBER(SEARCH("ESSENTIALS",C165)),ISNUMBER(SEARCH("LIFESTYLE",C165))),"Lifestyle &amp; Personal Essentials",IF(OR(ISNUMBER(SEARCH("EMERGENCY",C165)),ISNUMBER(SEARCH("SWEEP",C165)),ISNUMBER(SEARCH("RESERVE",C165))),"Emergency Fund Allocation","Unallocated Flex Buffer")))))))))</f>
        <v/>
      </c>
      <c r="J165" s="39" t="inlineStr"/>
      <c r="K165" s="23">
        <f>IF(C165="","",IF(J165&lt;&gt;"",J165,I165))</f>
        <v/>
      </c>
      <c r="L165" s="40">
        <f>IF(A165="","",IF(ISNUMBER(A165),TEXT(A165,"mmm-yyyy"),"Oct-2026"))</f>
        <v/>
      </c>
      <c r="M165" s="40">
        <f>IF(D165&gt;=5000,"🚨 High Value Debit (₹"&amp;TEXT(D165,"#,##0")&amp;")",IF(D165&gt;=1000,"⚡ Notable Expense","—"))</f>
        <v/>
      </c>
    </row>
    <row r="166">
      <c r="A166" s="39" t="inlineStr"/>
      <c r="B166" s="39" t="inlineStr"/>
      <c r="C166" s="39" t="inlineStr"/>
      <c r="D166" s="41" t="inlineStr"/>
      <c r="E166" s="41" t="inlineStr"/>
      <c r="F166" s="41" t="inlineStr"/>
      <c r="G166" s="39" t="inlineStr"/>
      <c r="H166" s="26">
        <f>IF(C166="","",IF(E166&gt;0,"INCOME",IF(D166&gt;0,"EXPENSE","NEUTRAL")))</f>
        <v/>
      </c>
      <c r="I166" s="39">
        <f>IF(C166="","",=IF(OR(ISNUMBER(SEARCH("STIPEND",C166)),ISNUMBER(SEARCH("SIGMASOFT",C166)),ISNUMBER(SEARCH("SALARY",C166))),"Internship Stipend",IF(OR(ISNUMBER(SEARCH("FAMILY",C166)),ISNUMBER(SEARCH("PAPA",C166)),ISNUMBER(SEARCH("MOM",C166)),ISNUMBER(SEARCH("FATHER",C166))),"Family Support",IF(OR(ISNUMBER(SEARCH("PG",C166)),ISNUMBER(SEARCH("RENT",C166)),ISNUMBER(SEARCH("STANZA",C166)),ISNUMBER(SEARCH("ZOLO",C166))),"PG Rent &amp; Covered Meals",IF(OR(ISNUMBER(SEARCH("GROWW",C166)),ISNUMBER(SEARCH("ZERODHA",C166)),ISNUMBER(SEARCH("MUTUAL",C166)),ISNUMBER(SEARCH("SIP",C166)),ISNUMBER(SEARCH("NIPPON",C166))),"Monthly SIP Investment",IF(OR(ISNUMBER(SEARCH("BMTC",C166)),ISNUMBER(SEARCH("BUS",C166)),ISNUMBER(SEARCH("METRO",C166)),ISNUMBER(SEARCH("CHALO",C166))),"BMTC Bus Commute",IF(OR(ISNUMBER(SEARCH("SWIGGY",C166)),ISNUMBER(SEARCH("ZOMATO",C166)),ISNUMBER(SEARCH("CANTEEN",C166)),ISNUMBER(SEARCH("LUNCH",C166)),ISNUMBER(SEARCH("FOOD",C166)),ISNUMBER(SEARCH("SUBWAY",C166))),"Daily Office Lunch (Mon–Sat)",IF(OR(ISNUMBER(SEARCH("BLINKIT",C166)),ISNUMBER(SEARCH("ZEPTO",C166)),ISNUMBER(SEARCH("RECHARGE",C166)),ISNUMBER(SEARCH("JIO",C166)),ISNUMBER(SEARCH("AIRTEL",C166)),ISNUMBER(SEARCH("PHARMACY",C166)),ISNUMBER(SEARCH("APOLLO",C166)),ISNUMBER(SEARCH("ESSENTIALS",C166)),ISNUMBER(SEARCH("LIFESTYLE",C166))),"Lifestyle &amp; Personal Essentials",IF(OR(ISNUMBER(SEARCH("EMERGENCY",C166)),ISNUMBER(SEARCH("SWEEP",C166)),ISNUMBER(SEARCH("RESERVE",C166))),"Emergency Fund Allocation","Unallocated Flex Buffer")))))))))</f>
        <v/>
      </c>
      <c r="J166" s="39" t="inlineStr"/>
      <c r="K166" s="23">
        <f>IF(C166="","",IF(J166&lt;&gt;"",J166,I166))</f>
        <v/>
      </c>
      <c r="L166" s="40">
        <f>IF(A166="","",IF(ISNUMBER(A166),TEXT(A166,"mmm-yyyy"),"Oct-2026"))</f>
        <v/>
      </c>
      <c r="M166" s="40">
        <f>IF(D166&gt;=5000,"🚨 High Value Debit (₹"&amp;TEXT(D166,"#,##0")&amp;")",IF(D166&gt;=1000,"⚡ Notable Expense","—"))</f>
        <v/>
      </c>
    </row>
    <row r="167">
      <c r="A167" s="39" t="inlineStr"/>
      <c r="B167" s="39" t="inlineStr"/>
      <c r="C167" s="39" t="inlineStr"/>
      <c r="D167" s="41" t="inlineStr"/>
      <c r="E167" s="41" t="inlineStr"/>
      <c r="F167" s="41" t="inlineStr"/>
      <c r="G167" s="39" t="inlineStr"/>
      <c r="H167" s="26">
        <f>IF(C167="","",IF(E167&gt;0,"INCOME",IF(D167&gt;0,"EXPENSE","NEUTRAL")))</f>
        <v/>
      </c>
      <c r="I167" s="39">
        <f>IF(C167="","",=IF(OR(ISNUMBER(SEARCH("STIPEND",C167)),ISNUMBER(SEARCH("SIGMASOFT",C167)),ISNUMBER(SEARCH("SALARY",C167))),"Internship Stipend",IF(OR(ISNUMBER(SEARCH("FAMILY",C167)),ISNUMBER(SEARCH("PAPA",C167)),ISNUMBER(SEARCH("MOM",C167)),ISNUMBER(SEARCH("FATHER",C167))),"Family Support",IF(OR(ISNUMBER(SEARCH("PG",C167)),ISNUMBER(SEARCH("RENT",C167)),ISNUMBER(SEARCH("STANZA",C167)),ISNUMBER(SEARCH("ZOLO",C167))),"PG Rent &amp; Covered Meals",IF(OR(ISNUMBER(SEARCH("GROWW",C167)),ISNUMBER(SEARCH("ZERODHA",C167)),ISNUMBER(SEARCH("MUTUAL",C167)),ISNUMBER(SEARCH("SIP",C167)),ISNUMBER(SEARCH("NIPPON",C167))),"Monthly SIP Investment",IF(OR(ISNUMBER(SEARCH("BMTC",C167)),ISNUMBER(SEARCH("BUS",C167)),ISNUMBER(SEARCH("METRO",C167)),ISNUMBER(SEARCH("CHALO",C167))),"BMTC Bus Commute",IF(OR(ISNUMBER(SEARCH("SWIGGY",C167)),ISNUMBER(SEARCH("ZOMATO",C167)),ISNUMBER(SEARCH("CANTEEN",C167)),ISNUMBER(SEARCH("LUNCH",C167)),ISNUMBER(SEARCH("FOOD",C167)),ISNUMBER(SEARCH("SUBWAY",C167))),"Daily Office Lunch (Mon–Sat)",IF(OR(ISNUMBER(SEARCH("BLINKIT",C167)),ISNUMBER(SEARCH("ZEPTO",C167)),ISNUMBER(SEARCH("RECHARGE",C167)),ISNUMBER(SEARCH("JIO",C167)),ISNUMBER(SEARCH("AIRTEL",C167)),ISNUMBER(SEARCH("PHARMACY",C167)),ISNUMBER(SEARCH("APOLLO",C167)),ISNUMBER(SEARCH("ESSENTIALS",C167)),ISNUMBER(SEARCH("LIFESTYLE",C167))),"Lifestyle &amp; Personal Essentials",IF(OR(ISNUMBER(SEARCH("EMERGENCY",C167)),ISNUMBER(SEARCH("SWEEP",C167)),ISNUMBER(SEARCH("RESERVE",C167))),"Emergency Fund Allocation","Unallocated Flex Buffer")))))))))</f>
        <v/>
      </c>
      <c r="J167" s="39" t="inlineStr"/>
      <c r="K167" s="23">
        <f>IF(C167="","",IF(J167&lt;&gt;"",J167,I167))</f>
        <v/>
      </c>
      <c r="L167" s="40">
        <f>IF(A167="","",IF(ISNUMBER(A167),TEXT(A167,"mmm-yyyy"),"Oct-2026"))</f>
        <v/>
      </c>
      <c r="M167" s="40">
        <f>IF(D167&gt;=5000,"🚨 High Value Debit (₹"&amp;TEXT(D167,"#,##0")&amp;")",IF(D167&gt;=1000,"⚡ Notable Expense","—"))</f>
        <v/>
      </c>
    </row>
    <row r="168">
      <c r="A168" s="39" t="inlineStr"/>
      <c r="B168" s="39" t="inlineStr"/>
      <c r="C168" s="39" t="inlineStr"/>
      <c r="D168" s="41" t="inlineStr"/>
      <c r="E168" s="41" t="inlineStr"/>
      <c r="F168" s="41" t="inlineStr"/>
      <c r="G168" s="39" t="inlineStr"/>
      <c r="H168" s="26">
        <f>IF(C168="","",IF(E168&gt;0,"INCOME",IF(D168&gt;0,"EXPENSE","NEUTRAL")))</f>
        <v/>
      </c>
      <c r="I168" s="39">
        <f>IF(C168="","",=IF(OR(ISNUMBER(SEARCH("STIPEND",C168)),ISNUMBER(SEARCH("SIGMASOFT",C168)),ISNUMBER(SEARCH("SALARY",C168))),"Internship Stipend",IF(OR(ISNUMBER(SEARCH("FAMILY",C168)),ISNUMBER(SEARCH("PAPA",C168)),ISNUMBER(SEARCH("MOM",C168)),ISNUMBER(SEARCH("FATHER",C168))),"Family Support",IF(OR(ISNUMBER(SEARCH("PG",C168)),ISNUMBER(SEARCH("RENT",C168)),ISNUMBER(SEARCH("STANZA",C168)),ISNUMBER(SEARCH("ZOLO",C168))),"PG Rent &amp; Covered Meals",IF(OR(ISNUMBER(SEARCH("GROWW",C168)),ISNUMBER(SEARCH("ZERODHA",C168)),ISNUMBER(SEARCH("MUTUAL",C168)),ISNUMBER(SEARCH("SIP",C168)),ISNUMBER(SEARCH("NIPPON",C168))),"Monthly SIP Investment",IF(OR(ISNUMBER(SEARCH("BMTC",C168)),ISNUMBER(SEARCH("BUS",C168)),ISNUMBER(SEARCH("METRO",C168)),ISNUMBER(SEARCH("CHALO",C168))),"BMTC Bus Commute",IF(OR(ISNUMBER(SEARCH("SWIGGY",C168)),ISNUMBER(SEARCH("ZOMATO",C168)),ISNUMBER(SEARCH("CANTEEN",C168)),ISNUMBER(SEARCH("LUNCH",C168)),ISNUMBER(SEARCH("FOOD",C168)),ISNUMBER(SEARCH("SUBWAY",C168))),"Daily Office Lunch (Mon–Sat)",IF(OR(ISNUMBER(SEARCH("BLINKIT",C168)),ISNUMBER(SEARCH("ZEPTO",C168)),ISNUMBER(SEARCH("RECHARGE",C168)),ISNUMBER(SEARCH("JIO",C168)),ISNUMBER(SEARCH("AIRTEL",C168)),ISNUMBER(SEARCH("PHARMACY",C168)),ISNUMBER(SEARCH("APOLLO",C168)),ISNUMBER(SEARCH("ESSENTIALS",C168)),ISNUMBER(SEARCH("LIFESTYLE",C168))),"Lifestyle &amp; Personal Essentials",IF(OR(ISNUMBER(SEARCH("EMERGENCY",C168)),ISNUMBER(SEARCH("SWEEP",C168)),ISNUMBER(SEARCH("RESERVE",C168))),"Emergency Fund Allocation","Unallocated Flex Buffer")))))))))</f>
        <v/>
      </c>
      <c r="J168" s="39" t="inlineStr"/>
      <c r="K168" s="23">
        <f>IF(C168="","",IF(J168&lt;&gt;"",J168,I168))</f>
        <v/>
      </c>
      <c r="L168" s="40">
        <f>IF(A168="","",IF(ISNUMBER(A168),TEXT(A168,"mmm-yyyy"),"Oct-2026"))</f>
        <v/>
      </c>
      <c r="M168" s="40">
        <f>IF(D168&gt;=5000,"🚨 High Value Debit (₹"&amp;TEXT(D168,"#,##0")&amp;")",IF(D168&gt;=1000,"⚡ Notable Expense","—"))</f>
        <v/>
      </c>
    </row>
    <row r="169">
      <c r="A169" s="39" t="inlineStr"/>
      <c r="B169" s="39" t="inlineStr"/>
      <c r="C169" s="39" t="inlineStr"/>
      <c r="D169" s="41" t="inlineStr"/>
      <c r="E169" s="41" t="inlineStr"/>
      <c r="F169" s="41" t="inlineStr"/>
      <c r="G169" s="39" t="inlineStr"/>
      <c r="H169" s="26">
        <f>IF(C169="","",IF(E169&gt;0,"INCOME",IF(D169&gt;0,"EXPENSE","NEUTRAL")))</f>
        <v/>
      </c>
      <c r="I169" s="39">
        <f>IF(C169="","",=IF(OR(ISNUMBER(SEARCH("STIPEND",C169)),ISNUMBER(SEARCH("SIGMASOFT",C169)),ISNUMBER(SEARCH("SALARY",C169))),"Internship Stipend",IF(OR(ISNUMBER(SEARCH("FAMILY",C169)),ISNUMBER(SEARCH("PAPA",C169)),ISNUMBER(SEARCH("MOM",C169)),ISNUMBER(SEARCH("FATHER",C169))),"Family Support",IF(OR(ISNUMBER(SEARCH("PG",C169)),ISNUMBER(SEARCH("RENT",C169)),ISNUMBER(SEARCH("STANZA",C169)),ISNUMBER(SEARCH("ZOLO",C169))),"PG Rent &amp; Covered Meals",IF(OR(ISNUMBER(SEARCH("GROWW",C169)),ISNUMBER(SEARCH("ZERODHA",C169)),ISNUMBER(SEARCH("MUTUAL",C169)),ISNUMBER(SEARCH("SIP",C169)),ISNUMBER(SEARCH("NIPPON",C169))),"Monthly SIP Investment",IF(OR(ISNUMBER(SEARCH("BMTC",C169)),ISNUMBER(SEARCH("BUS",C169)),ISNUMBER(SEARCH("METRO",C169)),ISNUMBER(SEARCH("CHALO",C169))),"BMTC Bus Commute",IF(OR(ISNUMBER(SEARCH("SWIGGY",C169)),ISNUMBER(SEARCH("ZOMATO",C169)),ISNUMBER(SEARCH("CANTEEN",C169)),ISNUMBER(SEARCH("LUNCH",C169)),ISNUMBER(SEARCH("FOOD",C169)),ISNUMBER(SEARCH("SUBWAY",C169))),"Daily Office Lunch (Mon–Sat)",IF(OR(ISNUMBER(SEARCH("BLINKIT",C169)),ISNUMBER(SEARCH("ZEPTO",C169)),ISNUMBER(SEARCH("RECHARGE",C169)),ISNUMBER(SEARCH("JIO",C169)),ISNUMBER(SEARCH("AIRTEL",C169)),ISNUMBER(SEARCH("PHARMACY",C169)),ISNUMBER(SEARCH("APOLLO",C169)),ISNUMBER(SEARCH("ESSENTIALS",C169)),ISNUMBER(SEARCH("LIFESTYLE",C169))),"Lifestyle &amp; Personal Essentials",IF(OR(ISNUMBER(SEARCH("EMERGENCY",C169)),ISNUMBER(SEARCH("SWEEP",C169)),ISNUMBER(SEARCH("RESERVE",C169))),"Emergency Fund Allocation","Unallocated Flex Buffer")))))))))</f>
        <v/>
      </c>
      <c r="J169" s="39" t="inlineStr"/>
      <c r="K169" s="23">
        <f>IF(C169="","",IF(J169&lt;&gt;"",J169,I169))</f>
        <v/>
      </c>
      <c r="L169" s="40">
        <f>IF(A169="","",IF(ISNUMBER(A169),TEXT(A169,"mmm-yyyy"),"Oct-2026"))</f>
        <v/>
      </c>
      <c r="M169" s="40">
        <f>IF(D169&gt;=5000,"🚨 High Value Debit (₹"&amp;TEXT(D169,"#,##0")&amp;")",IF(D169&gt;=1000,"⚡ Notable Expense","—"))</f>
        <v/>
      </c>
    </row>
    <row r="170">
      <c r="A170" s="39" t="inlineStr"/>
      <c r="B170" s="39" t="inlineStr"/>
      <c r="C170" s="39" t="inlineStr"/>
      <c r="D170" s="41" t="inlineStr"/>
      <c r="E170" s="41" t="inlineStr"/>
      <c r="F170" s="41" t="inlineStr"/>
      <c r="G170" s="39" t="inlineStr"/>
      <c r="H170" s="26">
        <f>IF(C170="","",IF(E170&gt;0,"INCOME",IF(D170&gt;0,"EXPENSE","NEUTRAL")))</f>
        <v/>
      </c>
      <c r="I170" s="39">
        <f>IF(C170="","",=IF(OR(ISNUMBER(SEARCH("STIPEND",C170)),ISNUMBER(SEARCH("SIGMASOFT",C170)),ISNUMBER(SEARCH("SALARY",C170))),"Internship Stipend",IF(OR(ISNUMBER(SEARCH("FAMILY",C170)),ISNUMBER(SEARCH("PAPA",C170)),ISNUMBER(SEARCH("MOM",C170)),ISNUMBER(SEARCH("FATHER",C170))),"Family Support",IF(OR(ISNUMBER(SEARCH("PG",C170)),ISNUMBER(SEARCH("RENT",C170)),ISNUMBER(SEARCH("STANZA",C170)),ISNUMBER(SEARCH("ZOLO",C170))),"PG Rent &amp; Covered Meals",IF(OR(ISNUMBER(SEARCH("GROWW",C170)),ISNUMBER(SEARCH("ZERODHA",C170)),ISNUMBER(SEARCH("MUTUAL",C170)),ISNUMBER(SEARCH("SIP",C170)),ISNUMBER(SEARCH("NIPPON",C170))),"Monthly SIP Investment",IF(OR(ISNUMBER(SEARCH("BMTC",C170)),ISNUMBER(SEARCH("BUS",C170)),ISNUMBER(SEARCH("METRO",C170)),ISNUMBER(SEARCH("CHALO",C170))),"BMTC Bus Commute",IF(OR(ISNUMBER(SEARCH("SWIGGY",C170)),ISNUMBER(SEARCH("ZOMATO",C170)),ISNUMBER(SEARCH("CANTEEN",C170)),ISNUMBER(SEARCH("LUNCH",C170)),ISNUMBER(SEARCH("FOOD",C170)),ISNUMBER(SEARCH("SUBWAY",C170))),"Daily Office Lunch (Mon–Sat)",IF(OR(ISNUMBER(SEARCH("BLINKIT",C170)),ISNUMBER(SEARCH("ZEPTO",C170)),ISNUMBER(SEARCH("RECHARGE",C170)),ISNUMBER(SEARCH("JIO",C170)),ISNUMBER(SEARCH("AIRTEL",C170)),ISNUMBER(SEARCH("PHARMACY",C170)),ISNUMBER(SEARCH("APOLLO",C170)),ISNUMBER(SEARCH("ESSENTIALS",C170)),ISNUMBER(SEARCH("LIFESTYLE",C170))),"Lifestyle &amp; Personal Essentials",IF(OR(ISNUMBER(SEARCH("EMERGENCY",C170)),ISNUMBER(SEARCH("SWEEP",C170)),ISNUMBER(SEARCH("RESERVE",C170))),"Emergency Fund Allocation","Unallocated Flex Buffer")))))))))</f>
        <v/>
      </c>
      <c r="J170" s="39" t="inlineStr"/>
      <c r="K170" s="23">
        <f>IF(C170="","",IF(J170&lt;&gt;"",J170,I170))</f>
        <v/>
      </c>
      <c r="L170" s="40">
        <f>IF(A170="","",IF(ISNUMBER(A170),TEXT(A170,"mmm-yyyy"),"Oct-2026"))</f>
        <v/>
      </c>
      <c r="M170" s="40">
        <f>IF(D170&gt;=5000,"🚨 High Value Debit (₹"&amp;TEXT(D170,"#,##0")&amp;")",IF(D170&gt;=1000,"⚡ Notable Expense","—"))</f>
        <v/>
      </c>
    </row>
    <row r="171">
      <c r="A171" s="39" t="inlineStr"/>
      <c r="B171" s="39" t="inlineStr"/>
      <c r="C171" s="39" t="inlineStr"/>
      <c r="D171" s="41" t="inlineStr"/>
      <c r="E171" s="41" t="inlineStr"/>
      <c r="F171" s="41" t="inlineStr"/>
      <c r="G171" s="39" t="inlineStr"/>
      <c r="H171" s="26">
        <f>IF(C171="","",IF(E171&gt;0,"INCOME",IF(D171&gt;0,"EXPENSE","NEUTRAL")))</f>
        <v/>
      </c>
      <c r="I171" s="39">
        <f>IF(C171="","",=IF(OR(ISNUMBER(SEARCH("STIPEND",C171)),ISNUMBER(SEARCH("SIGMASOFT",C171)),ISNUMBER(SEARCH("SALARY",C171))),"Internship Stipend",IF(OR(ISNUMBER(SEARCH("FAMILY",C171)),ISNUMBER(SEARCH("PAPA",C171)),ISNUMBER(SEARCH("MOM",C171)),ISNUMBER(SEARCH("FATHER",C171))),"Family Support",IF(OR(ISNUMBER(SEARCH("PG",C171)),ISNUMBER(SEARCH("RENT",C171)),ISNUMBER(SEARCH("STANZA",C171)),ISNUMBER(SEARCH("ZOLO",C171))),"PG Rent &amp; Covered Meals",IF(OR(ISNUMBER(SEARCH("GROWW",C171)),ISNUMBER(SEARCH("ZERODHA",C171)),ISNUMBER(SEARCH("MUTUAL",C171)),ISNUMBER(SEARCH("SIP",C171)),ISNUMBER(SEARCH("NIPPON",C171))),"Monthly SIP Investment",IF(OR(ISNUMBER(SEARCH("BMTC",C171)),ISNUMBER(SEARCH("BUS",C171)),ISNUMBER(SEARCH("METRO",C171)),ISNUMBER(SEARCH("CHALO",C171))),"BMTC Bus Commute",IF(OR(ISNUMBER(SEARCH("SWIGGY",C171)),ISNUMBER(SEARCH("ZOMATO",C171)),ISNUMBER(SEARCH("CANTEEN",C171)),ISNUMBER(SEARCH("LUNCH",C171)),ISNUMBER(SEARCH("FOOD",C171)),ISNUMBER(SEARCH("SUBWAY",C171))),"Daily Office Lunch (Mon–Sat)",IF(OR(ISNUMBER(SEARCH("BLINKIT",C171)),ISNUMBER(SEARCH("ZEPTO",C171)),ISNUMBER(SEARCH("RECHARGE",C171)),ISNUMBER(SEARCH("JIO",C171)),ISNUMBER(SEARCH("AIRTEL",C171)),ISNUMBER(SEARCH("PHARMACY",C171)),ISNUMBER(SEARCH("APOLLO",C171)),ISNUMBER(SEARCH("ESSENTIALS",C171)),ISNUMBER(SEARCH("LIFESTYLE",C171))),"Lifestyle &amp; Personal Essentials",IF(OR(ISNUMBER(SEARCH("EMERGENCY",C171)),ISNUMBER(SEARCH("SWEEP",C171)),ISNUMBER(SEARCH("RESERVE",C171))),"Emergency Fund Allocation","Unallocated Flex Buffer")))))))))</f>
        <v/>
      </c>
      <c r="J171" s="39" t="inlineStr"/>
      <c r="K171" s="23">
        <f>IF(C171="","",IF(J171&lt;&gt;"",J171,I171))</f>
        <v/>
      </c>
      <c r="L171" s="40">
        <f>IF(A171="","",IF(ISNUMBER(A171),TEXT(A171,"mmm-yyyy"),"Oct-2026"))</f>
        <v/>
      </c>
      <c r="M171" s="40">
        <f>IF(D171&gt;=5000,"🚨 High Value Debit (₹"&amp;TEXT(D171,"#,##0")&amp;")",IF(D171&gt;=1000,"⚡ Notable Expense","—"))</f>
        <v/>
      </c>
    </row>
    <row r="172">
      <c r="A172" s="39" t="inlineStr"/>
      <c r="B172" s="39" t="inlineStr"/>
      <c r="C172" s="39" t="inlineStr"/>
      <c r="D172" s="41" t="inlineStr"/>
      <c r="E172" s="41" t="inlineStr"/>
      <c r="F172" s="41" t="inlineStr"/>
      <c r="G172" s="39" t="inlineStr"/>
      <c r="H172" s="26">
        <f>IF(C172="","",IF(E172&gt;0,"INCOME",IF(D172&gt;0,"EXPENSE","NEUTRAL")))</f>
        <v/>
      </c>
      <c r="I172" s="39">
        <f>IF(C172="","",=IF(OR(ISNUMBER(SEARCH("STIPEND",C172)),ISNUMBER(SEARCH("SIGMASOFT",C172)),ISNUMBER(SEARCH("SALARY",C172))),"Internship Stipend",IF(OR(ISNUMBER(SEARCH("FAMILY",C172)),ISNUMBER(SEARCH("PAPA",C172)),ISNUMBER(SEARCH("MOM",C172)),ISNUMBER(SEARCH("FATHER",C172))),"Family Support",IF(OR(ISNUMBER(SEARCH("PG",C172)),ISNUMBER(SEARCH("RENT",C172)),ISNUMBER(SEARCH("STANZA",C172)),ISNUMBER(SEARCH("ZOLO",C172))),"PG Rent &amp; Covered Meals",IF(OR(ISNUMBER(SEARCH("GROWW",C172)),ISNUMBER(SEARCH("ZERODHA",C172)),ISNUMBER(SEARCH("MUTUAL",C172)),ISNUMBER(SEARCH("SIP",C172)),ISNUMBER(SEARCH("NIPPON",C172))),"Monthly SIP Investment",IF(OR(ISNUMBER(SEARCH("BMTC",C172)),ISNUMBER(SEARCH("BUS",C172)),ISNUMBER(SEARCH("METRO",C172)),ISNUMBER(SEARCH("CHALO",C172))),"BMTC Bus Commute",IF(OR(ISNUMBER(SEARCH("SWIGGY",C172)),ISNUMBER(SEARCH("ZOMATO",C172)),ISNUMBER(SEARCH("CANTEEN",C172)),ISNUMBER(SEARCH("LUNCH",C172)),ISNUMBER(SEARCH("FOOD",C172)),ISNUMBER(SEARCH("SUBWAY",C172))),"Daily Office Lunch (Mon–Sat)",IF(OR(ISNUMBER(SEARCH("BLINKIT",C172)),ISNUMBER(SEARCH("ZEPTO",C172)),ISNUMBER(SEARCH("RECHARGE",C172)),ISNUMBER(SEARCH("JIO",C172)),ISNUMBER(SEARCH("AIRTEL",C172)),ISNUMBER(SEARCH("PHARMACY",C172)),ISNUMBER(SEARCH("APOLLO",C172)),ISNUMBER(SEARCH("ESSENTIALS",C172)),ISNUMBER(SEARCH("LIFESTYLE",C172))),"Lifestyle &amp; Personal Essentials",IF(OR(ISNUMBER(SEARCH("EMERGENCY",C172)),ISNUMBER(SEARCH("SWEEP",C172)),ISNUMBER(SEARCH("RESERVE",C172))),"Emergency Fund Allocation","Unallocated Flex Buffer")))))))))</f>
        <v/>
      </c>
      <c r="J172" s="39" t="inlineStr"/>
      <c r="K172" s="23">
        <f>IF(C172="","",IF(J172&lt;&gt;"",J172,I172))</f>
        <v/>
      </c>
      <c r="L172" s="40">
        <f>IF(A172="","",IF(ISNUMBER(A172),TEXT(A172,"mmm-yyyy"),"Oct-2026"))</f>
        <v/>
      </c>
      <c r="M172" s="40">
        <f>IF(D172&gt;=5000,"🚨 High Value Debit (₹"&amp;TEXT(D172,"#,##0")&amp;")",IF(D172&gt;=1000,"⚡ Notable Expense","—"))</f>
        <v/>
      </c>
    </row>
    <row r="173">
      <c r="A173" s="39" t="inlineStr"/>
      <c r="B173" s="39" t="inlineStr"/>
      <c r="C173" s="39" t="inlineStr"/>
      <c r="D173" s="41" t="inlineStr"/>
      <c r="E173" s="41" t="inlineStr"/>
      <c r="F173" s="41" t="inlineStr"/>
      <c r="G173" s="39" t="inlineStr"/>
      <c r="H173" s="26">
        <f>IF(C173="","",IF(E173&gt;0,"INCOME",IF(D173&gt;0,"EXPENSE","NEUTRAL")))</f>
        <v/>
      </c>
      <c r="I173" s="39">
        <f>IF(C173="","",=IF(OR(ISNUMBER(SEARCH("STIPEND",C173)),ISNUMBER(SEARCH("SIGMASOFT",C173)),ISNUMBER(SEARCH("SALARY",C173))),"Internship Stipend",IF(OR(ISNUMBER(SEARCH("FAMILY",C173)),ISNUMBER(SEARCH("PAPA",C173)),ISNUMBER(SEARCH("MOM",C173)),ISNUMBER(SEARCH("FATHER",C173))),"Family Support",IF(OR(ISNUMBER(SEARCH("PG",C173)),ISNUMBER(SEARCH("RENT",C173)),ISNUMBER(SEARCH("STANZA",C173)),ISNUMBER(SEARCH("ZOLO",C173))),"PG Rent &amp; Covered Meals",IF(OR(ISNUMBER(SEARCH("GROWW",C173)),ISNUMBER(SEARCH("ZERODHA",C173)),ISNUMBER(SEARCH("MUTUAL",C173)),ISNUMBER(SEARCH("SIP",C173)),ISNUMBER(SEARCH("NIPPON",C173))),"Monthly SIP Investment",IF(OR(ISNUMBER(SEARCH("BMTC",C173)),ISNUMBER(SEARCH("BUS",C173)),ISNUMBER(SEARCH("METRO",C173)),ISNUMBER(SEARCH("CHALO",C173))),"BMTC Bus Commute",IF(OR(ISNUMBER(SEARCH("SWIGGY",C173)),ISNUMBER(SEARCH("ZOMATO",C173)),ISNUMBER(SEARCH("CANTEEN",C173)),ISNUMBER(SEARCH("LUNCH",C173)),ISNUMBER(SEARCH("FOOD",C173)),ISNUMBER(SEARCH("SUBWAY",C173))),"Daily Office Lunch (Mon–Sat)",IF(OR(ISNUMBER(SEARCH("BLINKIT",C173)),ISNUMBER(SEARCH("ZEPTO",C173)),ISNUMBER(SEARCH("RECHARGE",C173)),ISNUMBER(SEARCH("JIO",C173)),ISNUMBER(SEARCH("AIRTEL",C173)),ISNUMBER(SEARCH("PHARMACY",C173)),ISNUMBER(SEARCH("APOLLO",C173)),ISNUMBER(SEARCH("ESSENTIALS",C173)),ISNUMBER(SEARCH("LIFESTYLE",C173))),"Lifestyle &amp; Personal Essentials",IF(OR(ISNUMBER(SEARCH("EMERGENCY",C173)),ISNUMBER(SEARCH("SWEEP",C173)),ISNUMBER(SEARCH("RESERVE",C173))),"Emergency Fund Allocation","Unallocated Flex Buffer")))))))))</f>
        <v/>
      </c>
      <c r="J173" s="39" t="inlineStr"/>
      <c r="K173" s="23">
        <f>IF(C173="","",IF(J173&lt;&gt;"",J173,I173))</f>
        <v/>
      </c>
      <c r="L173" s="40">
        <f>IF(A173="","",IF(ISNUMBER(A173),TEXT(A173,"mmm-yyyy"),"Oct-2026"))</f>
        <v/>
      </c>
      <c r="M173" s="40">
        <f>IF(D173&gt;=5000,"🚨 High Value Debit (₹"&amp;TEXT(D173,"#,##0")&amp;")",IF(D173&gt;=1000,"⚡ Notable Expense","—"))</f>
        <v/>
      </c>
    </row>
    <row r="174">
      <c r="A174" s="39" t="inlineStr"/>
      <c r="B174" s="39" t="inlineStr"/>
      <c r="C174" s="39" t="inlineStr"/>
      <c r="D174" s="41" t="inlineStr"/>
      <c r="E174" s="41" t="inlineStr"/>
      <c r="F174" s="41" t="inlineStr"/>
      <c r="G174" s="39" t="inlineStr"/>
      <c r="H174" s="26">
        <f>IF(C174="","",IF(E174&gt;0,"INCOME",IF(D174&gt;0,"EXPENSE","NEUTRAL")))</f>
        <v/>
      </c>
      <c r="I174" s="39">
        <f>IF(C174="","",=IF(OR(ISNUMBER(SEARCH("STIPEND",C174)),ISNUMBER(SEARCH("SIGMASOFT",C174)),ISNUMBER(SEARCH("SALARY",C174))),"Internship Stipend",IF(OR(ISNUMBER(SEARCH("FAMILY",C174)),ISNUMBER(SEARCH("PAPA",C174)),ISNUMBER(SEARCH("MOM",C174)),ISNUMBER(SEARCH("FATHER",C174))),"Family Support",IF(OR(ISNUMBER(SEARCH("PG",C174)),ISNUMBER(SEARCH("RENT",C174)),ISNUMBER(SEARCH("STANZA",C174)),ISNUMBER(SEARCH("ZOLO",C174))),"PG Rent &amp; Covered Meals",IF(OR(ISNUMBER(SEARCH("GROWW",C174)),ISNUMBER(SEARCH("ZERODHA",C174)),ISNUMBER(SEARCH("MUTUAL",C174)),ISNUMBER(SEARCH("SIP",C174)),ISNUMBER(SEARCH("NIPPON",C174))),"Monthly SIP Investment",IF(OR(ISNUMBER(SEARCH("BMTC",C174)),ISNUMBER(SEARCH("BUS",C174)),ISNUMBER(SEARCH("METRO",C174)),ISNUMBER(SEARCH("CHALO",C174))),"BMTC Bus Commute",IF(OR(ISNUMBER(SEARCH("SWIGGY",C174)),ISNUMBER(SEARCH("ZOMATO",C174)),ISNUMBER(SEARCH("CANTEEN",C174)),ISNUMBER(SEARCH("LUNCH",C174)),ISNUMBER(SEARCH("FOOD",C174)),ISNUMBER(SEARCH("SUBWAY",C174))),"Daily Office Lunch (Mon–Sat)",IF(OR(ISNUMBER(SEARCH("BLINKIT",C174)),ISNUMBER(SEARCH("ZEPTO",C174)),ISNUMBER(SEARCH("RECHARGE",C174)),ISNUMBER(SEARCH("JIO",C174)),ISNUMBER(SEARCH("AIRTEL",C174)),ISNUMBER(SEARCH("PHARMACY",C174)),ISNUMBER(SEARCH("APOLLO",C174)),ISNUMBER(SEARCH("ESSENTIALS",C174)),ISNUMBER(SEARCH("LIFESTYLE",C174))),"Lifestyle &amp; Personal Essentials",IF(OR(ISNUMBER(SEARCH("EMERGENCY",C174)),ISNUMBER(SEARCH("SWEEP",C174)),ISNUMBER(SEARCH("RESERVE",C174))),"Emergency Fund Allocation","Unallocated Flex Buffer")))))))))</f>
        <v/>
      </c>
      <c r="J174" s="39" t="inlineStr"/>
      <c r="K174" s="23">
        <f>IF(C174="","",IF(J174&lt;&gt;"",J174,I174))</f>
        <v/>
      </c>
      <c r="L174" s="40">
        <f>IF(A174="","",IF(ISNUMBER(A174),TEXT(A174,"mmm-yyyy"),"Oct-2026"))</f>
        <v/>
      </c>
      <c r="M174" s="40">
        <f>IF(D174&gt;=5000,"🚨 High Value Debit (₹"&amp;TEXT(D174,"#,##0")&amp;")",IF(D174&gt;=1000,"⚡ Notable Expense","—"))</f>
        <v/>
      </c>
    </row>
    <row r="175">
      <c r="A175" s="39" t="inlineStr"/>
      <c r="B175" s="39" t="inlineStr"/>
      <c r="C175" s="39" t="inlineStr"/>
      <c r="D175" s="41" t="inlineStr"/>
      <c r="E175" s="41" t="inlineStr"/>
      <c r="F175" s="41" t="inlineStr"/>
      <c r="G175" s="39" t="inlineStr"/>
      <c r="H175" s="26">
        <f>IF(C175="","",IF(E175&gt;0,"INCOME",IF(D175&gt;0,"EXPENSE","NEUTRAL")))</f>
        <v/>
      </c>
      <c r="I175" s="39">
        <f>IF(C175="","",=IF(OR(ISNUMBER(SEARCH("STIPEND",C175)),ISNUMBER(SEARCH("SIGMASOFT",C175)),ISNUMBER(SEARCH("SALARY",C175))),"Internship Stipend",IF(OR(ISNUMBER(SEARCH("FAMILY",C175)),ISNUMBER(SEARCH("PAPA",C175)),ISNUMBER(SEARCH("MOM",C175)),ISNUMBER(SEARCH("FATHER",C175))),"Family Support",IF(OR(ISNUMBER(SEARCH("PG",C175)),ISNUMBER(SEARCH("RENT",C175)),ISNUMBER(SEARCH("STANZA",C175)),ISNUMBER(SEARCH("ZOLO",C175))),"PG Rent &amp; Covered Meals",IF(OR(ISNUMBER(SEARCH("GROWW",C175)),ISNUMBER(SEARCH("ZERODHA",C175)),ISNUMBER(SEARCH("MUTUAL",C175)),ISNUMBER(SEARCH("SIP",C175)),ISNUMBER(SEARCH("NIPPON",C175))),"Monthly SIP Investment",IF(OR(ISNUMBER(SEARCH("BMTC",C175)),ISNUMBER(SEARCH("BUS",C175)),ISNUMBER(SEARCH("METRO",C175)),ISNUMBER(SEARCH("CHALO",C175))),"BMTC Bus Commute",IF(OR(ISNUMBER(SEARCH("SWIGGY",C175)),ISNUMBER(SEARCH("ZOMATO",C175)),ISNUMBER(SEARCH("CANTEEN",C175)),ISNUMBER(SEARCH("LUNCH",C175)),ISNUMBER(SEARCH("FOOD",C175)),ISNUMBER(SEARCH("SUBWAY",C175))),"Daily Office Lunch (Mon–Sat)",IF(OR(ISNUMBER(SEARCH("BLINKIT",C175)),ISNUMBER(SEARCH("ZEPTO",C175)),ISNUMBER(SEARCH("RECHARGE",C175)),ISNUMBER(SEARCH("JIO",C175)),ISNUMBER(SEARCH("AIRTEL",C175)),ISNUMBER(SEARCH("PHARMACY",C175)),ISNUMBER(SEARCH("APOLLO",C175)),ISNUMBER(SEARCH("ESSENTIALS",C175)),ISNUMBER(SEARCH("LIFESTYLE",C175))),"Lifestyle &amp; Personal Essentials",IF(OR(ISNUMBER(SEARCH("EMERGENCY",C175)),ISNUMBER(SEARCH("SWEEP",C175)),ISNUMBER(SEARCH("RESERVE",C175))),"Emergency Fund Allocation","Unallocated Flex Buffer")))))))))</f>
        <v/>
      </c>
      <c r="J175" s="39" t="inlineStr"/>
      <c r="K175" s="23">
        <f>IF(C175="","",IF(J175&lt;&gt;"",J175,I175))</f>
        <v/>
      </c>
      <c r="L175" s="40">
        <f>IF(A175="","",IF(ISNUMBER(A175),TEXT(A175,"mmm-yyyy"),"Oct-2026"))</f>
        <v/>
      </c>
      <c r="M175" s="40">
        <f>IF(D175&gt;=5000,"🚨 High Value Debit (₹"&amp;TEXT(D175,"#,##0")&amp;")",IF(D175&gt;=1000,"⚡ Notable Expense","—"))</f>
        <v/>
      </c>
    </row>
    <row r="176">
      <c r="A176" s="39" t="inlineStr"/>
      <c r="B176" s="39" t="inlineStr"/>
      <c r="C176" s="39" t="inlineStr"/>
      <c r="D176" s="41" t="inlineStr"/>
      <c r="E176" s="41" t="inlineStr"/>
      <c r="F176" s="41" t="inlineStr"/>
      <c r="G176" s="39" t="inlineStr"/>
      <c r="H176" s="26">
        <f>IF(C176="","",IF(E176&gt;0,"INCOME",IF(D176&gt;0,"EXPENSE","NEUTRAL")))</f>
        <v/>
      </c>
      <c r="I176" s="39">
        <f>IF(C176="","",=IF(OR(ISNUMBER(SEARCH("STIPEND",C176)),ISNUMBER(SEARCH("SIGMASOFT",C176)),ISNUMBER(SEARCH("SALARY",C176))),"Internship Stipend",IF(OR(ISNUMBER(SEARCH("FAMILY",C176)),ISNUMBER(SEARCH("PAPA",C176)),ISNUMBER(SEARCH("MOM",C176)),ISNUMBER(SEARCH("FATHER",C176))),"Family Support",IF(OR(ISNUMBER(SEARCH("PG",C176)),ISNUMBER(SEARCH("RENT",C176)),ISNUMBER(SEARCH("STANZA",C176)),ISNUMBER(SEARCH("ZOLO",C176))),"PG Rent &amp; Covered Meals",IF(OR(ISNUMBER(SEARCH("GROWW",C176)),ISNUMBER(SEARCH("ZERODHA",C176)),ISNUMBER(SEARCH("MUTUAL",C176)),ISNUMBER(SEARCH("SIP",C176)),ISNUMBER(SEARCH("NIPPON",C176))),"Monthly SIP Investment",IF(OR(ISNUMBER(SEARCH("BMTC",C176)),ISNUMBER(SEARCH("BUS",C176)),ISNUMBER(SEARCH("METRO",C176)),ISNUMBER(SEARCH("CHALO",C176))),"BMTC Bus Commute",IF(OR(ISNUMBER(SEARCH("SWIGGY",C176)),ISNUMBER(SEARCH("ZOMATO",C176)),ISNUMBER(SEARCH("CANTEEN",C176)),ISNUMBER(SEARCH("LUNCH",C176)),ISNUMBER(SEARCH("FOOD",C176)),ISNUMBER(SEARCH("SUBWAY",C176))),"Daily Office Lunch (Mon–Sat)",IF(OR(ISNUMBER(SEARCH("BLINKIT",C176)),ISNUMBER(SEARCH("ZEPTO",C176)),ISNUMBER(SEARCH("RECHARGE",C176)),ISNUMBER(SEARCH("JIO",C176)),ISNUMBER(SEARCH("AIRTEL",C176)),ISNUMBER(SEARCH("PHARMACY",C176)),ISNUMBER(SEARCH("APOLLO",C176)),ISNUMBER(SEARCH("ESSENTIALS",C176)),ISNUMBER(SEARCH("LIFESTYLE",C176))),"Lifestyle &amp; Personal Essentials",IF(OR(ISNUMBER(SEARCH("EMERGENCY",C176)),ISNUMBER(SEARCH("SWEEP",C176)),ISNUMBER(SEARCH("RESERVE",C176))),"Emergency Fund Allocation","Unallocated Flex Buffer")))))))))</f>
        <v/>
      </c>
      <c r="J176" s="39" t="inlineStr"/>
      <c r="K176" s="23">
        <f>IF(C176="","",IF(J176&lt;&gt;"",J176,I176))</f>
        <v/>
      </c>
      <c r="L176" s="40">
        <f>IF(A176="","",IF(ISNUMBER(A176),TEXT(A176,"mmm-yyyy"),"Oct-2026"))</f>
        <v/>
      </c>
      <c r="M176" s="40">
        <f>IF(D176&gt;=5000,"🚨 High Value Debit (₹"&amp;TEXT(D176,"#,##0")&amp;")",IF(D176&gt;=1000,"⚡ Notable Expense","—"))</f>
        <v/>
      </c>
    </row>
    <row r="177">
      <c r="A177" s="39" t="inlineStr"/>
      <c r="B177" s="39" t="inlineStr"/>
      <c r="C177" s="39" t="inlineStr"/>
      <c r="D177" s="41" t="inlineStr"/>
      <c r="E177" s="41" t="inlineStr"/>
      <c r="F177" s="41" t="inlineStr"/>
      <c r="G177" s="39" t="inlineStr"/>
      <c r="H177" s="26">
        <f>IF(C177="","",IF(E177&gt;0,"INCOME",IF(D177&gt;0,"EXPENSE","NEUTRAL")))</f>
        <v/>
      </c>
      <c r="I177" s="39">
        <f>IF(C177="","",=IF(OR(ISNUMBER(SEARCH("STIPEND",C177)),ISNUMBER(SEARCH("SIGMASOFT",C177)),ISNUMBER(SEARCH("SALARY",C177))),"Internship Stipend",IF(OR(ISNUMBER(SEARCH("FAMILY",C177)),ISNUMBER(SEARCH("PAPA",C177)),ISNUMBER(SEARCH("MOM",C177)),ISNUMBER(SEARCH("FATHER",C177))),"Family Support",IF(OR(ISNUMBER(SEARCH("PG",C177)),ISNUMBER(SEARCH("RENT",C177)),ISNUMBER(SEARCH("STANZA",C177)),ISNUMBER(SEARCH("ZOLO",C177))),"PG Rent &amp; Covered Meals",IF(OR(ISNUMBER(SEARCH("GROWW",C177)),ISNUMBER(SEARCH("ZERODHA",C177)),ISNUMBER(SEARCH("MUTUAL",C177)),ISNUMBER(SEARCH("SIP",C177)),ISNUMBER(SEARCH("NIPPON",C177))),"Monthly SIP Investment",IF(OR(ISNUMBER(SEARCH("BMTC",C177)),ISNUMBER(SEARCH("BUS",C177)),ISNUMBER(SEARCH("METRO",C177)),ISNUMBER(SEARCH("CHALO",C177))),"BMTC Bus Commute",IF(OR(ISNUMBER(SEARCH("SWIGGY",C177)),ISNUMBER(SEARCH("ZOMATO",C177)),ISNUMBER(SEARCH("CANTEEN",C177)),ISNUMBER(SEARCH("LUNCH",C177)),ISNUMBER(SEARCH("FOOD",C177)),ISNUMBER(SEARCH("SUBWAY",C177))),"Daily Office Lunch (Mon–Sat)",IF(OR(ISNUMBER(SEARCH("BLINKIT",C177)),ISNUMBER(SEARCH("ZEPTO",C177)),ISNUMBER(SEARCH("RECHARGE",C177)),ISNUMBER(SEARCH("JIO",C177)),ISNUMBER(SEARCH("AIRTEL",C177)),ISNUMBER(SEARCH("PHARMACY",C177)),ISNUMBER(SEARCH("APOLLO",C177)),ISNUMBER(SEARCH("ESSENTIALS",C177)),ISNUMBER(SEARCH("LIFESTYLE",C177))),"Lifestyle &amp; Personal Essentials",IF(OR(ISNUMBER(SEARCH("EMERGENCY",C177)),ISNUMBER(SEARCH("SWEEP",C177)),ISNUMBER(SEARCH("RESERVE",C177))),"Emergency Fund Allocation","Unallocated Flex Buffer")))))))))</f>
        <v/>
      </c>
      <c r="J177" s="39" t="inlineStr"/>
      <c r="K177" s="23">
        <f>IF(C177="","",IF(J177&lt;&gt;"",J177,I177))</f>
        <v/>
      </c>
      <c r="L177" s="40">
        <f>IF(A177="","",IF(ISNUMBER(A177),TEXT(A177,"mmm-yyyy"),"Oct-2026"))</f>
        <v/>
      </c>
      <c r="M177" s="40">
        <f>IF(D177&gt;=5000,"🚨 High Value Debit (₹"&amp;TEXT(D177,"#,##0")&amp;")",IF(D177&gt;=1000,"⚡ Notable Expense","—"))</f>
        <v/>
      </c>
    </row>
    <row r="178">
      <c r="A178" s="39" t="inlineStr"/>
      <c r="B178" s="39" t="inlineStr"/>
      <c r="C178" s="39" t="inlineStr"/>
      <c r="D178" s="41" t="inlineStr"/>
      <c r="E178" s="41" t="inlineStr"/>
      <c r="F178" s="41" t="inlineStr"/>
      <c r="G178" s="39" t="inlineStr"/>
      <c r="H178" s="26">
        <f>IF(C178="","",IF(E178&gt;0,"INCOME",IF(D178&gt;0,"EXPENSE","NEUTRAL")))</f>
        <v/>
      </c>
      <c r="I178" s="39">
        <f>IF(C178="","",=IF(OR(ISNUMBER(SEARCH("STIPEND",C178)),ISNUMBER(SEARCH("SIGMASOFT",C178)),ISNUMBER(SEARCH("SALARY",C178))),"Internship Stipend",IF(OR(ISNUMBER(SEARCH("FAMILY",C178)),ISNUMBER(SEARCH("PAPA",C178)),ISNUMBER(SEARCH("MOM",C178)),ISNUMBER(SEARCH("FATHER",C178))),"Family Support",IF(OR(ISNUMBER(SEARCH("PG",C178)),ISNUMBER(SEARCH("RENT",C178)),ISNUMBER(SEARCH("STANZA",C178)),ISNUMBER(SEARCH("ZOLO",C178))),"PG Rent &amp; Covered Meals",IF(OR(ISNUMBER(SEARCH("GROWW",C178)),ISNUMBER(SEARCH("ZERODHA",C178)),ISNUMBER(SEARCH("MUTUAL",C178)),ISNUMBER(SEARCH("SIP",C178)),ISNUMBER(SEARCH("NIPPON",C178))),"Monthly SIP Investment",IF(OR(ISNUMBER(SEARCH("BMTC",C178)),ISNUMBER(SEARCH("BUS",C178)),ISNUMBER(SEARCH("METRO",C178)),ISNUMBER(SEARCH("CHALO",C178))),"BMTC Bus Commute",IF(OR(ISNUMBER(SEARCH("SWIGGY",C178)),ISNUMBER(SEARCH("ZOMATO",C178)),ISNUMBER(SEARCH("CANTEEN",C178)),ISNUMBER(SEARCH("LUNCH",C178)),ISNUMBER(SEARCH("FOOD",C178)),ISNUMBER(SEARCH("SUBWAY",C178))),"Daily Office Lunch (Mon–Sat)",IF(OR(ISNUMBER(SEARCH("BLINKIT",C178)),ISNUMBER(SEARCH("ZEPTO",C178)),ISNUMBER(SEARCH("RECHARGE",C178)),ISNUMBER(SEARCH("JIO",C178)),ISNUMBER(SEARCH("AIRTEL",C178)),ISNUMBER(SEARCH("PHARMACY",C178)),ISNUMBER(SEARCH("APOLLO",C178)),ISNUMBER(SEARCH("ESSENTIALS",C178)),ISNUMBER(SEARCH("LIFESTYLE",C178))),"Lifestyle &amp; Personal Essentials",IF(OR(ISNUMBER(SEARCH("EMERGENCY",C178)),ISNUMBER(SEARCH("SWEEP",C178)),ISNUMBER(SEARCH("RESERVE",C178))),"Emergency Fund Allocation","Unallocated Flex Buffer")))))))))</f>
        <v/>
      </c>
      <c r="J178" s="39" t="inlineStr"/>
      <c r="K178" s="23">
        <f>IF(C178="","",IF(J178&lt;&gt;"",J178,I178))</f>
        <v/>
      </c>
      <c r="L178" s="40">
        <f>IF(A178="","",IF(ISNUMBER(A178),TEXT(A178,"mmm-yyyy"),"Oct-2026"))</f>
        <v/>
      </c>
      <c r="M178" s="40">
        <f>IF(D178&gt;=5000,"🚨 High Value Debit (₹"&amp;TEXT(D178,"#,##0")&amp;")",IF(D178&gt;=1000,"⚡ Notable Expense","—"))</f>
        <v/>
      </c>
    </row>
    <row r="179">
      <c r="A179" s="39" t="inlineStr"/>
      <c r="B179" s="39" t="inlineStr"/>
      <c r="C179" s="39" t="inlineStr"/>
      <c r="D179" s="41" t="inlineStr"/>
      <c r="E179" s="41" t="inlineStr"/>
      <c r="F179" s="41" t="inlineStr"/>
      <c r="G179" s="39" t="inlineStr"/>
      <c r="H179" s="26">
        <f>IF(C179="","",IF(E179&gt;0,"INCOME",IF(D179&gt;0,"EXPENSE","NEUTRAL")))</f>
        <v/>
      </c>
      <c r="I179" s="39">
        <f>IF(C179="","",=IF(OR(ISNUMBER(SEARCH("STIPEND",C179)),ISNUMBER(SEARCH("SIGMASOFT",C179)),ISNUMBER(SEARCH("SALARY",C179))),"Internship Stipend",IF(OR(ISNUMBER(SEARCH("FAMILY",C179)),ISNUMBER(SEARCH("PAPA",C179)),ISNUMBER(SEARCH("MOM",C179)),ISNUMBER(SEARCH("FATHER",C179))),"Family Support",IF(OR(ISNUMBER(SEARCH("PG",C179)),ISNUMBER(SEARCH("RENT",C179)),ISNUMBER(SEARCH("STANZA",C179)),ISNUMBER(SEARCH("ZOLO",C179))),"PG Rent &amp; Covered Meals",IF(OR(ISNUMBER(SEARCH("GROWW",C179)),ISNUMBER(SEARCH("ZERODHA",C179)),ISNUMBER(SEARCH("MUTUAL",C179)),ISNUMBER(SEARCH("SIP",C179)),ISNUMBER(SEARCH("NIPPON",C179))),"Monthly SIP Investment",IF(OR(ISNUMBER(SEARCH("BMTC",C179)),ISNUMBER(SEARCH("BUS",C179)),ISNUMBER(SEARCH("METRO",C179)),ISNUMBER(SEARCH("CHALO",C179))),"BMTC Bus Commute",IF(OR(ISNUMBER(SEARCH("SWIGGY",C179)),ISNUMBER(SEARCH("ZOMATO",C179)),ISNUMBER(SEARCH("CANTEEN",C179)),ISNUMBER(SEARCH("LUNCH",C179)),ISNUMBER(SEARCH("FOOD",C179)),ISNUMBER(SEARCH("SUBWAY",C179))),"Daily Office Lunch (Mon–Sat)",IF(OR(ISNUMBER(SEARCH("BLINKIT",C179)),ISNUMBER(SEARCH("ZEPTO",C179)),ISNUMBER(SEARCH("RECHARGE",C179)),ISNUMBER(SEARCH("JIO",C179)),ISNUMBER(SEARCH("AIRTEL",C179)),ISNUMBER(SEARCH("PHARMACY",C179)),ISNUMBER(SEARCH("APOLLO",C179)),ISNUMBER(SEARCH("ESSENTIALS",C179)),ISNUMBER(SEARCH("LIFESTYLE",C179))),"Lifestyle &amp; Personal Essentials",IF(OR(ISNUMBER(SEARCH("EMERGENCY",C179)),ISNUMBER(SEARCH("SWEEP",C179)),ISNUMBER(SEARCH("RESERVE",C179))),"Emergency Fund Allocation","Unallocated Flex Buffer")))))))))</f>
        <v/>
      </c>
      <c r="J179" s="39" t="inlineStr"/>
      <c r="K179" s="23">
        <f>IF(C179="","",IF(J179&lt;&gt;"",J179,I179))</f>
        <v/>
      </c>
      <c r="L179" s="40">
        <f>IF(A179="","",IF(ISNUMBER(A179),TEXT(A179,"mmm-yyyy"),"Oct-2026"))</f>
        <v/>
      </c>
      <c r="M179" s="40">
        <f>IF(D179&gt;=5000,"🚨 High Value Debit (₹"&amp;TEXT(D179,"#,##0")&amp;")",IF(D179&gt;=1000,"⚡ Notable Expense","—"))</f>
        <v/>
      </c>
    </row>
    <row r="180">
      <c r="A180" s="39" t="inlineStr"/>
      <c r="B180" s="39" t="inlineStr"/>
      <c r="C180" s="39" t="inlineStr"/>
      <c r="D180" s="41" t="inlineStr"/>
      <c r="E180" s="41" t="inlineStr"/>
      <c r="F180" s="41" t="inlineStr"/>
      <c r="G180" s="39" t="inlineStr"/>
      <c r="H180" s="26">
        <f>IF(C180="","",IF(E180&gt;0,"INCOME",IF(D180&gt;0,"EXPENSE","NEUTRAL")))</f>
        <v/>
      </c>
      <c r="I180" s="39">
        <f>IF(C180="","",=IF(OR(ISNUMBER(SEARCH("STIPEND",C180)),ISNUMBER(SEARCH("SIGMASOFT",C180)),ISNUMBER(SEARCH("SALARY",C180))),"Internship Stipend",IF(OR(ISNUMBER(SEARCH("FAMILY",C180)),ISNUMBER(SEARCH("PAPA",C180)),ISNUMBER(SEARCH("MOM",C180)),ISNUMBER(SEARCH("FATHER",C180))),"Family Support",IF(OR(ISNUMBER(SEARCH("PG",C180)),ISNUMBER(SEARCH("RENT",C180)),ISNUMBER(SEARCH("STANZA",C180)),ISNUMBER(SEARCH("ZOLO",C180))),"PG Rent &amp; Covered Meals",IF(OR(ISNUMBER(SEARCH("GROWW",C180)),ISNUMBER(SEARCH("ZERODHA",C180)),ISNUMBER(SEARCH("MUTUAL",C180)),ISNUMBER(SEARCH("SIP",C180)),ISNUMBER(SEARCH("NIPPON",C180))),"Monthly SIP Investment",IF(OR(ISNUMBER(SEARCH("BMTC",C180)),ISNUMBER(SEARCH("BUS",C180)),ISNUMBER(SEARCH("METRO",C180)),ISNUMBER(SEARCH("CHALO",C180))),"BMTC Bus Commute",IF(OR(ISNUMBER(SEARCH("SWIGGY",C180)),ISNUMBER(SEARCH("ZOMATO",C180)),ISNUMBER(SEARCH("CANTEEN",C180)),ISNUMBER(SEARCH("LUNCH",C180)),ISNUMBER(SEARCH("FOOD",C180)),ISNUMBER(SEARCH("SUBWAY",C180))),"Daily Office Lunch (Mon–Sat)",IF(OR(ISNUMBER(SEARCH("BLINKIT",C180)),ISNUMBER(SEARCH("ZEPTO",C180)),ISNUMBER(SEARCH("RECHARGE",C180)),ISNUMBER(SEARCH("JIO",C180)),ISNUMBER(SEARCH("AIRTEL",C180)),ISNUMBER(SEARCH("PHARMACY",C180)),ISNUMBER(SEARCH("APOLLO",C180)),ISNUMBER(SEARCH("ESSENTIALS",C180)),ISNUMBER(SEARCH("LIFESTYLE",C180))),"Lifestyle &amp; Personal Essentials",IF(OR(ISNUMBER(SEARCH("EMERGENCY",C180)),ISNUMBER(SEARCH("SWEEP",C180)),ISNUMBER(SEARCH("RESERVE",C180))),"Emergency Fund Allocation","Unallocated Flex Buffer")))))))))</f>
        <v/>
      </c>
      <c r="J180" s="39" t="inlineStr"/>
      <c r="K180" s="23">
        <f>IF(C180="","",IF(J180&lt;&gt;"",J180,I180))</f>
        <v/>
      </c>
      <c r="L180" s="40">
        <f>IF(A180="","",IF(ISNUMBER(A180),TEXT(A180,"mmm-yyyy"),"Oct-2026"))</f>
        <v/>
      </c>
      <c r="M180" s="40">
        <f>IF(D180&gt;=5000,"🚨 High Value Debit (₹"&amp;TEXT(D180,"#,##0")&amp;")",IF(D180&gt;=1000,"⚡ Notable Expense","—"))</f>
        <v/>
      </c>
    </row>
    <row r="181">
      <c r="A181" s="39" t="inlineStr"/>
      <c r="B181" s="39" t="inlineStr"/>
      <c r="C181" s="39" t="inlineStr"/>
      <c r="D181" s="41" t="inlineStr"/>
      <c r="E181" s="41" t="inlineStr"/>
      <c r="F181" s="41" t="inlineStr"/>
      <c r="G181" s="39" t="inlineStr"/>
      <c r="H181" s="26">
        <f>IF(C181="","",IF(E181&gt;0,"INCOME",IF(D181&gt;0,"EXPENSE","NEUTRAL")))</f>
        <v/>
      </c>
      <c r="I181" s="39">
        <f>IF(C181="","",=IF(OR(ISNUMBER(SEARCH("STIPEND",C181)),ISNUMBER(SEARCH("SIGMASOFT",C181)),ISNUMBER(SEARCH("SALARY",C181))),"Internship Stipend",IF(OR(ISNUMBER(SEARCH("FAMILY",C181)),ISNUMBER(SEARCH("PAPA",C181)),ISNUMBER(SEARCH("MOM",C181)),ISNUMBER(SEARCH("FATHER",C181))),"Family Support",IF(OR(ISNUMBER(SEARCH("PG",C181)),ISNUMBER(SEARCH("RENT",C181)),ISNUMBER(SEARCH("STANZA",C181)),ISNUMBER(SEARCH("ZOLO",C181))),"PG Rent &amp; Covered Meals",IF(OR(ISNUMBER(SEARCH("GROWW",C181)),ISNUMBER(SEARCH("ZERODHA",C181)),ISNUMBER(SEARCH("MUTUAL",C181)),ISNUMBER(SEARCH("SIP",C181)),ISNUMBER(SEARCH("NIPPON",C181))),"Monthly SIP Investment",IF(OR(ISNUMBER(SEARCH("BMTC",C181)),ISNUMBER(SEARCH("BUS",C181)),ISNUMBER(SEARCH("METRO",C181)),ISNUMBER(SEARCH("CHALO",C181))),"BMTC Bus Commute",IF(OR(ISNUMBER(SEARCH("SWIGGY",C181)),ISNUMBER(SEARCH("ZOMATO",C181)),ISNUMBER(SEARCH("CANTEEN",C181)),ISNUMBER(SEARCH("LUNCH",C181)),ISNUMBER(SEARCH("FOOD",C181)),ISNUMBER(SEARCH("SUBWAY",C181))),"Daily Office Lunch (Mon–Sat)",IF(OR(ISNUMBER(SEARCH("BLINKIT",C181)),ISNUMBER(SEARCH("ZEPTO",C181)),ISNUMBER(SEARCH("RECHARGE",C181)),ISNUMBER(SEARCH("JIO",C181)),ISNUMBER(SEARCH("AIRTEL",C181)),ISNUMBER(SEARCH("PHARMACY",C181)),ISNUMBER(SEARCH("APOLLO",C181)),ISNUMBER(SEARCH("ESSENTIALS",C181)),ISNUMBER(SEARCH("LIFESTYLE",C181))),"Lifestyle &amp; Personal Essentials",IF(OR(ISNUMBER(SEARCH("EMERGENCY",C181)),ISNUMBER(SEARCH("SWEEP",C181)),ISNUMBER(SEARCH("RESERVE",C181))),"Emergency Fund Allocation","Unallocated Flex Buffer")))))))))</f>
        <v/>
      </c>
      <c r="J181" s="39" t="inlineStr"/>
      <c r="K181" s="23">
        <f>IF(C181="","",IF(J181&lt;&gt;"",J181,I181))</f>
        <v/>
      </c>
      <c r="L181" s="40">
        <f>IF(A181="","",IF(ISNUMBER(A181),TEXT(A181,"mmm-yyyy"),"Oct-2026"))</f>
        <v/>
      </c>
      <c r="M181" s="40">
        <f>IF(D181&gt;=5000,"🚨 High Value Debit (₹"&amp;TEXT(D181,"#,##0")&amp;")",IF(D181&gt;=1000,"⚡ Notable Expense","—"))</f>
        <v/>
      </c>
    </row>
    <row r="182">
      <c r="A182" s="39" t="inlineStr"/>
      <c r="B182" s="39" t="inlineStr"/>
      <c r="C182" s="39" t="inlineStr"/>
      <c r="D182" s="41" t="inlineStr"/>
      <c r="E182" s="41" t="inlineStr"/>
      <c r="F182" s="41" t="inlineStr"/>
      <c r="G182" s="39" t="inlineStr"/>
      <c r="H182" s="26">
        <f>IF(C182="","",IF(E182&gt;0,"INCOME",IF(D182&gt;0,"EXPENSE","NEUTRAL")))</f>
        <v/>
      </c>
      <c r="I182" s="39">
        <f>IF(C182="","",=IF(OR(ISNUMBER(SEARCH("STIPEND",C182)),ISNUMBER(SEARCH("SIGMASOFT",C182)),ISNUMBER(SEARCH("SALARY",C182))),"Internship Stipend",IF(OR(ISNUMBER(SEARCH("FAMILY",C182)),ISNUMBER(SEARCH("PAPA",C182)),ISNUMBER(SEARCH("MOM",C182)),ISNUMBER(SEARCH("FATHER",C182))),"Family Support",IF(OR(ISNUMBER(SEARCH("PG",C182)),ISNUMBER(SEARCH("RENT",C182)),ISNUMBER(SEARCH("STANZA",C182)),ISNUMBER(SEARCH("ZOLO",C182))),"PG Rent &amp; Covered Meals",IF(OR(ISNUMBER(SEARCH("GROWW",C182)),ISNUMBER(SEARCH("ZERODHA",C182)),ISNUMBER(SEARCH("MUTUAL",C182)),ISNUMBER(SEARCH("SIP",C182)),ISNUMBER(SEARCH("NIPPON",C182))),"Monthly SIP Investment",IF(OR(ISNUMBER(SEARCH("BMTC",C182)),ISNUMBER(SEARCH("BUS",C182)),ISNUMBER(SEARCH("METRO",C182)),ISNUMBER(SEARCH("CHALO",C182))),"BMTC Bus Commute",IF(OR(ISNUMBER(SEARCH("SWIGGY",C182)),ISNUMBER(SEARCH("ZOMATO",C182)),ISNUMBER(SEARCH("CANTEEN",C182)),ISNUMBER(SEARCH("LUNCH",C182)),ISNUMBER(SEARCH("FOOD",C182)),ISNUMBER(SEARCH("SUBWAY",C182))),"Daily Office Lunch (Mon–Sat)",IF(OR(ISNUMBER(SEARCH("BLINKIT",C182)),ISNUMBER(SEARCH("ZEPTO",C182)),ISNUMBER(SEARCH("RECHARGE",C182)),ISNUMBER(SEARCH("JIO",C182)),ISNUMBER(SEARCH("AIRTEL",C182)),ISNUMBER(SEARCH("PHARMACY",C182)),ISNUMBER(SEARCH("APOLLO",C182)),ISNUMBER(SEARCH("ESSENTIALS",C182)),ISNUMBER(SEARCH("LIFESTYLE",C182))),"Lifestyle &amp; Personal Essentials",IF(OR(ISNUMBER(SEARCH("EMERGENCY",C182)),ISNUMBER(SEARCH("SWEEP",C182)),ISNUMBER(SEARCH("RESERVE",C182))),"Emergency Fund Allocation","Unallocated Flex Buffer")))))))))</f>
        <v/>
      </c>
      <c r="J182" s="39" t="inlineStr"/>
      <c r="K182" s="23">
        <f>IF(C182="","",IF(J182&lt;&gt;"",J182,I182))</f>
        <v/>
      </c>
      <c r="L182" s="40">
        <f>IF(A182="","",IF(ISNUMBER(A182),TEXT(A182,"mmm-yyyy"),"Oct-2026"))</f>
        <v/>
      </c>
      <c r="M182" s="40">
        <f>IF(D182&gt;=5000,"🚨 High Value Debit (₹"&amp;TEXT(D182,"#,##0")&amp;")",IF(D182&gt;=1000,"⚡ Notable Expense","—"))</f>
        <v/>
      </c>
    </row>
    <row r="183">
      <c r="A183" s="39" t="inlineStr"/>
      <c r="B183" s="39" t="inlineStr"/>
      <c r="C183" s="39" t="inlineStr"/>
      <c r="D183" s="41" t="inlineStr"/>
      <c r="E183" s="41" t="inlineStr"/>
      <c r="F183" s="41" t="inlineStr"/>
      <c r="G183" s="39" t="inlineStr"/>
      <c r="H183" s="26">
        <f>IF(C183="","",IF(E183&gt;0,"INCOME",IF(D183&gt;0,"EXPENSE","NEUTRAL")))</f>
        <v/>
      </c>
      <c r="I183" s="39">
        <f>IF(C183="","",=IF(OR(ISNUMBER(SEARCH("STIPEND",C183)),ISNUMBER(SEARCH("SIGMASOFT",C183)),ISNUMBER(SEARCH("SALARY",C183))),"Internship Stipend",IF(OR(ISNUMBER(SEARCH("FAMILY",C183)),ISNUMBER(SEARCH("PAPA",C183)),ISNUMBER(SEARCH("MOM",C183)),ISNUMBER(SEARCH("FATHER",C183))),"Family Support",IF(OR(ISNUMBER(SEARCH("PG",C183)),ISNUMBER(SEARCH("RENT",C183)),ISNUMBER(SEARCH("STANZA",C183)),ISNUMBER(SEARCH("ZOLO",C183))),"PG Rent &amp; Covered Meals",IF(OR(ISNUMBER(SEARCH("GROWW",C183)),ISNUMBER(SEARCH("ZERODHA",C183)),ISNUMBER(SEARCH("MUTUAL",C183)),ISNUMBER(SEARCH("SIP",C183)),ISNUMBER(SEARCH("NIPPON",C183))),"Monthly SIP Investment",IF(OR(ISNUMBER(SEARCH("BMTC",C183)),ISNUMBER(SEARCH("BUS",C183)),ISNUMBER(SEARCH("METRO",C183)),ISNUMBER(SEARCH("CHALO",C183))),"BMTC Bus Commute",IF(OR(ISNUMBER(SEARCH("SWIGGY",C183)),ISNUMBER(SEARCH("ZOMATO",C183)),ISNUMBER(SEARCH("CANTEEN",C183)),ISNUMBER(SEARCH("LUNCH",C183)),ISNUMBER(SEARCH("FOOD",C183)),ISNUMBER(SEARCH("SUBWAY",C183))),"Daily Office Lunch (Mon–Sat)",IF(OR(ISNUMBER(SEARCH("BLINKIT",C183)),ISNUMBER(SEARCH("ZEPTO",C183)),ISNUMBER(SEARCH("RECHARGE",C183)),ISNUMBER(SEARCH("JIO",C183)),ISNUMBER(SEARCH("AIRTEL",C183)),ISNUMBER(SEARCH("PHARMACY",C183)),ISNUMBER(SEARCH("APOLLO",C183)),ISNUMBER(SEARCH("ESSENTIALS",C183)),ISNUMBER(SEARCH("LIFESTYLE",C183))),"Lifestyle &amp; Personal Essentials",IF(OR(ISNUMBER(SEARCH("EMERGENCY",C183)),ISNUMBER(SEARCH("SWEEP",C183)),ISNUMBER(SEARCH("RESERVE",C183))),"Emergency Fund Allocation","Unallocated Flex Buffer")))))))))</f>
        <v/>
      </c>
      <c r="J183" s="39" t="inlineStr"/>
      <c r="K183" s="23">
        <f>IF(C183="","",IF(J183&lt;&gt;"",J183,I183))</f>
        <v/>
      </c>
      <c r="L183" s="40">
        <f>IF(A183="","",IF(ISNUMBER(A183),TEXT(A183,"mmm-yyyy"),"Oct-2026"))</f>
        <v/>
      </c>
      <c r="M183" s="40">
        <f>IF(D183&gt;=5000,"🚨 High Value Debit (₹"&amp;TEXT(D183,"#,##0")&amp;")",IF(D183&gt;=1000,"⚡ Notable Expense","—"))</f>
        <v/>
      </c>
    </row>
    <row r="184">
      <c r="A184" s="39" t="inlineStr"/>
      <c r="B184" s="39" t="inlineStr"/>
      <c r="C184" s="39" t="inlineStr"/>
      <c r="D184" s="41" t="inlineStr"/>
      <c r="E184" s="41" t="inlineStr"/>
      <c r="F184" s="41" t="inlineStr"/>
      <c r="G184" s="39" t="inlineStr"/>
      <c r="H184" s="26">
        <f>IF(C184="","",IF(E184&gt;0,"INCOME",IF(D184&gt;0,"EXPENSE","NEUTRAL")))</f>
        <v/>
      </c>
      <c r="I184" s="39">
        <f>IF(C184="","",=IF(OR(ISNUMBER(SEARCH("STIPEND",C184)),ISNUMBER(SEARCH("SIGMASOFT",C184)),ISNUMBER(SEARCH("SALARY",C184))),"Internship Stipend",IF(OR(ISNUMBER(SEARCH("FAMILY",C184)),ISNUMBER(SEARCH("PAPA",C184)),ISNUMBER(SEARCH("MOM",C184)),ISNUMBER(SEARCH("FATHER",C184))),"Family Support",IF(OR(ISNUMBER(SEARCH("PG",C184)),ISNUMBER(SEARCH("RENT",C184)),ISNUMBER(SEARCH("STANZA",C184)),ISNUMBER(SEARCH("ZOLO",C184))),"PG Rent &amp; Covered Meals",IF(OR(ISNUMBER(SEARCH("GROWW",C184)),ISNUMBER(SEARCH("ZERODHA",C184)),ISNUMBER(SEARCH("MUTUAL",C184)),ISNUMBER(SEARCH("SIP",C184)),ISNUMBER(SEARCH("NIPPON",C184))),"Monthly SIP Investment",IF(OR(ISNUMBER(SEARCH("BMTC",C184)),ISNUMBER(SEARCH("BUS",C184)),ISNUMBER(SEARCH("METRO",C184)),ISNUMBER(SEARCH("CHALO",C184))),"BMTC Bus Commute",IF(OR(ISNUMBER(SEARCH("SWIGGY",C184)),ISNUMBER(SEARCH("ZOMATO",C184)),ISNUMBER(SEARCH("CANTEEN",C184)),ISNUMBER(SEARCH("LUNCH",C184)),ISNUMBER(SEARCH("FOOD",C184)),ISNUMBER(SEARCH("SUBWAY",C184))),"Daily Office Lunch (Mon–Sat)",IF(OR(ISNUMBER(SEARCH("BLINKIT",C184)),ISNUMBER(SEARCH("ZEPTO",C184)),ISNUMBER(SEARCH("RECHARGE",C184)),ISNUMBER(SEARCH("JIO",C184)),ISNUMBER(SEARCH("AIRTEL",C184)),ISNUMBER(SEARCH("PHARMACY",C184)),ISNUMBER(SEARCH("APOLLO",C184)),ISNUMBER(SEARCH("ESSENTIALS",C184)),ISNUMBER(SEARCH("LIFESTYLE",C184))),"Lifestyle &amp; Personal Essentials",IF(OR(ISNUMBER(SEARCH("EMERGENCY",C184)),ISNUMBER(SEARCH("SWEEP",C184)),ISNUMBER(SEARCH("RESERVE",C184))),"Emergency Fund Allocation","Unallocated Flex Buffer")))))))))</f>
        <v/>
      </c>
      <c r="J184" s="39" t="inlineStr"/>
      <c r="K184" s="23">
        <f>IF(C184="","",IF(J184&lt;&gt;"",J184,I184))</f>
        <v/>
      </c>
      <c r="L184" s="40">
        <f>IF(A184="","",IF(ISNUMBER(A184),TEXT(A184,"mmm-yyyy"),"Oct-2026"))</f>
        <v/>
      </c>
      <c r="M184" s="40">
        <f>IF(D184&gt;=5000,"🚨 High Value Debit (₹"&amp;TEXT(D184,"#,##0")&amp;")",IF(D184&gt;=1000,"⚡ Notable Expense","—"))</f>
        <v/>
      </c>
    </row>
    <row r="185">
      <c r="A185" s="39" t="inlineStr"/>
      <c r="B185" s="39" t="inlineStr"/>
      <c r="C185" s="39" t="inlineStr"/>
      <c r="D185" s="41" t="inlineStr"/>
      <c r="E185" s="41" t="inlineStr"/>
      <c r="F185" s="41" t="inlineStr"/>
      <c r="G185" s="39" t="inlineStr"/>
      <c r="H185" s="26">
        <f>IF(C185="","",IF(E185&gt;0,"INCOME",IF(D185&gt;0,"EXPENSE","NEUTRAL")))</f>
        <v/>
      </c>
      <c r="I185" s="39">
        <f>IF(C185="","",=IF(OR(ISNUMBER(SEARCH("STIPEND",C185)),ISNUMBER(SEARCH("SIGMASOFT",C185)),ISNUMBER(SEARCH("SALARY",C185))),"Internship Stipend",IF(OR(ISNUMBER(SEARCH("FAMILY",C185)),ISNUMBER(SEARCH("PAPA",C185)),ISNUMBER(SEARCH("MOM",C185)),ISNUMBER(SEARCH("FATHER",C185))),"Family Support",IF(OR(ISNUMBER(SEARCH("PG",C185)),ISNUMBER(SEARCH("RENT",C185)),ISNUMBER(SEARCH("STANZA",C185)),ISNUMBER(SEARCH("ZOLO",C185))),"PG Rent &amp; Covered Meals",IF(OR(ISNUMBER(SEARCH("GROWW",C185)),ISNUMBER(SEARCH("ZERODHA",C185)),ISNUMBER(SEARCH("MUTUAL",C185)),ISNUMBER(SEARCH("SIP",C185)),ISNUMBER(SEARCH("NIPPON",C185))),"Monthly SIP Investment",IF(OR(ISNUMBER(SEARCH("BMTC",C185)),ISNUMBER(SEARCH("BUS",C185)),ISNUMBER(SEARCH("METRO",C185)),ISNUMBER(SEARCH("CHALO",C185))),"BMTC Bus Commute",IF(OR(ISNUMBER(SEARCH("SWIGGY",C185)),ISNUMBER(SEARCH("ZOMATO",C185)),ISNUMBER(SEARCH("CANTEEN",C185)),ISNUMBER(SEARCH("LUNCH",C185)),ISNUMBER(SEARCH("FOOD",C185)),ISNUMBER(SEARCH("SUBWAY",C185))),"Daily Office Lunch (Mon–Sat)",IF(OR(ISNUMBER(SEARCH("BLINKIT",C185)),ISNUMBER(SEARCH("ZEPTO",C185)),ISNUMBER(SEARCH("RECHARGE",C185)),ISNUMBER(SEARCH("JIO",C185)),ISNUMBER(SEARCH("AIRTEL",C185)),ISNUMBER(SEARCH("PHARMACY",C185)),ISNUMBER(SEARCH("APOLLO",C185)),ISNUMBER(SEARCH("ESSENTIALS",C185)),ISNUMBER(SEARCH("LIFESTYLE",C185))),"Lifestyle &amp; Personal Essentials",IF(OR(ISNUMBER(SEARCH("EMERGENCY",C185)),ISNUMBER(SEARCH("SWEEP",C185)),ISNUMBER(SEARCH("RESERVE",C185))),"Emergency Fund Allocation","Unallocated Flex Buffer")))))))))</f>
        <v/>
      </c>
      <c r="J185" s="39" t="inlineStr"/>
      <c r="K185" s="23">
        <f>IF(C185="","",IF(J185&lt;&gt;"",J185,I185))</f>
        <v/>
      </c>
      <c r="L185" s="40">
        <f>IF(A185="","",IF(ISNUMBER(A185),TEXT(A185,"mmm-yyyy"),"Oct-2026"))</f>
        <v/>
      </c>
      <c r="M185" s="40">
        <f>IF(D185&gt;=5000,"🚨 High Value Debit (₹"&amp;TEXT(D185,"#,##0")&amp;")",IF(D185&gt;=1000,"⚡ Notable Expense","—"))</f>
        <v/>
      </c>
    </row>
    <row r="186">
      <c r="A186" s="39" t="inlineStr"/>
      <c r="B186" s="39" t="inlineStr"/>
      <c r="C186" s="39" t="inlineStr"/>
      <c r="D186" s="41" t="inlineStr"/>
      <c r="E186" s="41" t="inlineStr"/>
      <c r="F186" s="41" t="inlineStr"/>
      <c r="G186" s="39" t="inlineStr"/>
      <c r="H186" s="26">
        <f>IF(C186="","",IF(E186&gt;0,"INCOME",IF(D186&gt;0,"EXPENSE","NEUTRAL")))</f>
        <v/>
      </c>
      <c r="I186" s="39">
        <f>IF(C186="","",=IF(OR(ISNUMBER(SEARCH("STIPEND",C186)),ISNUMBER(SEARCH("SIGMASOFT",C186)),ISNUMBER(SEARCH("SALARY",C186))),"Internship Stipend",IF(OR(ISNUMBER(SEARCH("FAMILY",C186)),ISNUMBER(SEARCH("PAPA",C186)),ISNUMBER(SEARCH("MOM",C186)),ISNUMBER(SEARCH("FATHER",C186))),"Family Support",IF(OR(ISNUMBER(SEARCH("PG",C186)),ISNUMBER(SEARCH("RENT",C186)),ISNUMBER(SEARCH("STANZA",C186)),ISNUMBER(SEARCH("ZOLO",C186))),"PG Rent &amp; Covered Meals",IF(OR(ISNUMBER(SEARCH("GROWW",C186)),ISNUMBER(SEARCH("ZERODHA",C186)),ISNUMBER(SEARCH("MUTUAL",C186)),ISNUMBER(SEARCH("SIP",C186)),ISNUMBER(SEARCH("NIPPON",C186))),"Monthly SIP Investment",IF(OR(ISNUMBER(SEARCH("BMTC",C186)),ISNUMBER(SEARCH("BUS",C186)),ISNUMBER(SEARCH("METRO",C186)),ISNUMBER(SEARCH("CHALO",C186))),"BMTC Bus Commute",IF(OR(ISNUMBER(SEARCH("SWIGGY",C186)),ISNUMBER(SEARCH("ZOMATO",C186)),ISNUMBER(SEARCH("CANTEEN",C186)),ISNUMBER(SEARCH("LUNCH",C186)),ISNUMBER(SEARCH("FOOD",C186)),ISNUMBER(SEARCH("SUBWAY",C186))),"Daily Office Lunch (Mon–Sat)",IF(OR(ISNUMBER(SEARCH("BLINKIT",C186)),ISNUMBER(SEARCH("ZEPTO",C186)),ISNUMBER(SEARCH("RECHARGE",C186)),ISNUMBER(SEARCH("JIO",C186)),ISNUMBER(SEARCH("AIRTEL",C186)),ISNUMBER(SEARCH("PHARMACY",C186)),ISNUMBER(SEARCH("APOLLO",C186)),ISNUMBER(SEARCH("ESSENTIALS",C186)),ISNUMBER(SEARCH("LIFESTYLE",C186))),"Lifestyle &amp; Personal Essentials",IF(OR(ISNUMBER(SEARCH("EMERGENCY",C186)),ISNUMBER(SEARCH("SWEEP",C186)),ISNUMBER(SEARCH("RESERVE",C186))),"Emergency Fund Allocation","Unallocated Flex Buffer")))))))))</f>
        <v/>
      </c>
      <c r="J186" s="39" t="inlineStr"/>
      <c r="K186" s="23">
        <f>IF(C186="","",IF(J186&lt;&gt;"",J186,I186))</f>
        <v/>
      </c>
      <c r="L186" s="40">
        <f>IF(A186="","",IF(ISNUMBER(A186),TEXT(A186,"mmm-yyyy"),"Oct-2026"))</f>
        <v/>
      </c>
      <c r="M186" s="40">
        <f>IF(D186&gt;=5000,"🚨 High Value Debit (₹"&amp;TEXT(D186,"#,##0")&amp;")",IF(D186&gt;=1000,"⚡ Notable Expense","—"))</f>
        <v/>
      </c>
    </row>
    <row r="187">
      <c r="A187" s="39" t="inlineStr"/>
      <c r="B187" s="39" t="inlineStr"/>
      <c r="C187" s="39" t="inlineStr"/>
      <c r="D187" s="41" t="inlineStr"/>
      <c r="E187" s="41" t="inlineStr"/>
      <c r="F187" s="41" t="inlineStr"/>
      <c r="G187" s="39" t="inlineStr"/>
      <c r="H187" s="26">
        <f>IF(C187="","",IF(E187&gt;0,"INCOME",IF(D187&gt;0,"EXPENSE","NEUTRAL")))</f>
        <v/>
      </c>
      <c r="I187" s="39">
        <f>IF(C187="","",=IF(OR(ISNUMBER(SEARCH("STIPEND",C187)),ISNUMBER(SEARCH("SIGMASOFT",C187)),ISNUMBER(SEARCH("SALARY",C187))),"Internship Stipend",IF(OR(ISNUMBER(SEARCH("FAMILY",C187)),ISNUMBER(SEARCH("PAPA",C187)),ISNUMBER(SEARCH("MOM",C187)),ISNUMBER(SEARCH("FATHER",C187))),"Family Support",IF(OR(ISNUMBER(SEARCH("PG",C187)),ISNUMBER(SEARCH("RENT",C187)),ISNUMBER(SEARCH("STANZA",C187)),ISNUMBER(SEARCH("ZOLO",C187))),"PG Rent &amp; Covered Meals",IF(OR(ISNUMBER(SEARCH("GROWW",C187)),ISNUMBER(SEARCH("ZERODHA",C187)),ISNUMBER(SEARCH("MUTUAL",C187)),ISNUMBER(SEARCH("SIP",C187)),ISNUMBER(SEARCH("NIPPON",C187))),"Monthly SIP Investment",IF(OR(ISNUMBER(SEARCH("BMTC",C187)),ISNUMBER(SEARCH("BUS",C187)),ISNUMBER(SEARCH("METRO",C187)),ISNUMBER(SEARCH("CHALO",C187))),"BMTC Bus Commute",IF(OR(ISNUMBER(SEARCH("SWIGGY",C187)),ISNUMBER(SEARCH("ZOMATO",C187)),ISNUMBER(SEARCH("CANTEEN",C187)),ISNUMBER(SEARCH("LUNCH",C187)),ISNUMBER(SEARCH("FOOD",C187)),ISNUMBER(SEARCH("SUBWAY",C187))),"Daily Office Lunch (Mon–Sat)",IF(OR(ISNUMBER(SEARCH("BLINKIT",C187)),ISNUMBER(SEARCH("ZEPTO",C187)),ISNUMBER(SEARCH("RECHARGE",C187)),ISNUMBER(SEARCH("JIO",C187)),ISNUMBER(SEARCH("AIRTEL",C187)),ISNUMBER(SEARCH("PHARMACY",C187)),ISNUMBER(SEARCH("APOLLO",C187)),ISNUMBER(SEARCH("ESSENTIALS",C187)),ISNUMBER(SEARCH("LIFESTYLE",C187))),"Lifestyle &amp; Personal Essentials",IF(OR(ISNUMBER(SEARCH("EMERGENCY",C187)),ISNUMBER(SEARCH("SWEEP",C187)),ISNUMBER(SEARCH("RESERVE",C187))),"Emergency Fund Allocation","Unallocated Flex Buffer")))))))))</f>
        <v/>
      </c>
      <c r="J187" s="39" t="inlineStr"/>
      <c r="K187" s="23">
        <f>IF(C187="","",IF(J187&lt;&gt;"",J187,I187))</f>
        <v/>
      </c>
      <c r="L187" s="40">
        <f>IF(A187="","",IF(ISNUMBER(A187),TEXT(A187,"mmm-yyyy"),"Oct-2026"))</f>
        <v/>
      </c>
      <c r="M187" s="40">
        <f>IF(D187&gt;=5000,"🚨 High Value Debit (₹"&amp;TEXT(D187,"#,##0")&amp;")",IF(D187&gt;=1000,"⚡ Notable Expense","—"))</f>
        <v/>
      </c>
    </row>
    <row r="188">
      <c r="A188" s="39" t="inlineStr"/>
      <c r="B188" s="39" t="inlineStr"/>
      <c r="C188" s="39" t="inlineStr"/>
      <c r="D188" s="41" t="inlineStr"/>
      <c r="E188" s="41" t="inlineStr"/>
      <c r="F188" s="41" t="inlineStr"/>
      <c r="G188" s="39" t="inlineStr"/>
      <c r="H188" s="26">
        <f>IF(C188="","",IF(E188&gt;0,"INCOME",IF(D188&gt;0,"EXPENSE","NEUTRAL")))</f>
        <v/>
      </c>
      <c r="I188" s="39">
        <f>IF(C188="","",=IF(OR(ISNUMBER(SEARCH("STIPEND",C188)),ISNUMBER(SEARCH("SIGMASOFT",C188)),ISNUMBER(SEARCH("SALARY",C188))),"Internship Stipend",IF(OR(ISNUMBER(SEARCH("FAMILY",C188)),ISNUMBER(SEARCH("PAPA",C188)),ISNUMBER(SEARCH("MOM",C188)),ISNUMBER(SEARCH("FATHER",C188))),"Family Support",IF(OR(ISNUMBER(SEARCH("PG",C188)),ISNUMBER(SEARCH("RENT",C188)),ISNUMBER(SEARCH("STANZA",C188)),ISNUMBER(SEARCH("ZOLO",C188))),"PG Rent &amp; Covered Meals",IF(OR(ISNUMBER(SEARCH("GROWW",C188)),ISNUMBER(SEARCH("ZERODHA",C188)),ISNUMBER(SEARCH("MUTUAL",C188)),ISNUMBER(SEARCH("SIP",C188)),ISNUMBER(SEARCH("NIPPON",C188))),"Monthly SIP Investment",IF(OR(ISNUMBER(SEARCH("BMTC",C188)),ISNUMBER(SEARCH("BUS",C188)),ISNUMBER(SEARCH("METRO",C188)),ISNUMBER(SEARCH("CHALO",C188))),"BMTC Bus Commute",IF(OR(ISNUMBER(SEARCH("SWIGGY",C188)),ISNUMBER(SEARCH("ZOMATO",C188)),ISNUMBER(SEARCH("CANTEEN",C188)),ISNUMBER(SEARCH("LUNCH",C188)),ISNUMBER(SEARCH("FOOD",C188)),ISNUMBER(SEARCH("SUBWAY",C188))),"Daily Office Lunch (Mon–Sat)",IF(OR(ISNUMBER(SEARCH("BLINKIT",C188)),ISNUMBER(SEARCH("ZEPTO",C188)),ISNUMBER(SEARCH("RECHARGE",C188)),ISNUMBER(SEARCH("JIO",C188)),ISNUMBER(SEARCH("AIRTEL",C188)),ISNUMBER(SEARCH("PHARMACY",C188)),ISNUMBER(SEARCH("APOLLO",C188)),ISNUMBER(SEARCH("ESSENTIALS",C188)),ISNUMBER(SEARCH("LIFESTYLE",C188))),"Lifestyle &amp; Personal Essentials",IF(OR(ISNUMBER(SEARCH("EMERGENCY",C188)),ISNUMBER(SEARCH("SWEEP",C188)),ISNUMBER(SEARCH("RESERVE",C188))),"Emergency Fund Allocation","Unallocated Flex Buffer")))))))))</f>
        <v/>
      </c>
      <c r="J188" s="39" t="inlineStr"/>
      <c r="K188" s="23">
        <f>IF(C188="","",IF(J188&lt;&gt;"",J188,I188))</f>
        <v/>
      </c>
      <c r="L188" s="40">
        <f>IF(A188="","",IF(ISNUMBER(A188),TEXT(A188,"mmm-yyyy"),"Oct-2026"))</f>
        <v/>
      </c>
      <c r="M188" s="40">
        <f>IF(D188&gt;=5000,"🚨 High Value Debit (₹"&amp;TEXT(D188,"#,##0")&amp;")",IF(D188&gt;=1000,"⚡ Notable Expense","—"))</f>
        <v/>
      </c>
    </row>
    <row r="189">
      <c r="A189" s="39" t="inlineStr"/>
      <c r="B189" s="39" t="inlineStr"/>
      <c r="C189" s="39" t="inlineStr"/>
      <c r="D189" s="41" t="inlineStr"/>
      <c r="E189" s="41" t="inlineStr"/>
      <c r="F189" s="41" t="inlineStr"/>
      <c r="G189" s="39" t="inlineStr"/>
      <c r="H189" s="26">
        <f>IF(C189="","",IF(E189&gt;0,"INCOME",IF(D189&gt;0,"EXPENSE","NEUTRAL")))</f>
        <v/>
      </c>
      <c r="I189" s="39">
        <f>IF(C189="","",=IF(OR(ISNUMBER(SEARCH("STIPEND",C189)),ISNUMBER(SEARCH("SIGMASOFT",C189)),ISNUMBER(SEARCH("SALARY",C189))),"Internship Stipend",IF(OR(ISNUMBER(SEARCH("FAMILY",C189)),ISNUMBER(SEARCH("PAPA",C189)),ISNUMBER(SEARCH("MOM",C189)),ISNUMBER(SEARCH("FATHER",C189))),"Family Support",IF(OR(ISNUMBER(SEARCH("PG",C189)),ISNUMBER(SEARCH("RENT",C189)),ISNUMBER(SEARCH("STANZA",C189)),ISNUMBER(SEARCH("ZOLO",C189))),"PG Rent &amp; Covered Meals",IF(OR(ISNUMBER(SEARCH("GROWW",C189)),ISNUMBER(SEARCH("ZERODHA",C189)),ISNUMBER(SEARCH("MUTUAL",C189)),ISNUMBER(SEARCH("SIP",C189)),ISNUMBER(SEARCH("NIPPON",C189))),"Monthly SIP Investment",IF(OR(ISNUMBER(SEARCH("BMTC",C189)),ISNUMBER(SEARCH("BUS",C189)),ISNUMBER(SEARCH("METRO",C189)),ISNUMBER(SEARCH("CHALO",C189))),"BMTC Bus Commute",IF(OR(ISNUMBER(SEARCH("SWIGGY",C189)),ISNUMBER(SEARCH("ZOMATO",C189)),ISNUMBER(SEARCH("CANTEEN",C189)),ISNUMBER(SEARCH("LUNCH",C189)),ISNUMBER(SEARCH("FOOD",C189)),ISNUMBER(SEARCH("SUBWAY",C189))),"Daily Office Lunch (Mon–Sat)",IF(OR(ISNUMBER(SEARCH("BLINKIT",C189)),ISNUMBER(SEARCH("ZEPTO",C189)),ISNUMBER(SEARCH("RECHARGE",C189)),ISNUMBER(SEARCH("JIO",C189)),ISNUMBER(SEARCH("AIRTEL",C189)),ISNUMBER(SEARCH("PHARMACY",C189)),ISNUMBER(SEARCH("APOLLO",C189)),ISNUMBER(SEARCH("ESSENTIALS",C189)),ISNUMBER(SEARCH("LIFESTYLE",C189))),"Lifestyle &amp; Personal Essentials",IF(OR(ISNUMBER(SEARCH("EMERGENCY",C189)),ISNUMBER(SEARCH("SWEEP",C189)),ISNUMBER(SEARCH("RESERVE",C189))),"Emergency Fund Allocation","Unallocated Flex Buffer")))))))))</f>
        <v/>
      </c>
      <c r="J189" s="39" t="inlineStr"/>
      <c r="K189" s="23">
        <f>IF(C189="","",IF(J189&lt;&gt;"",J189,I189))</f>
        <v/>
      </c>
      <c r="L189" s="40">
        <f>IF(A189="","",IF(ISNUMBER(A189),TEXT(A189,"mmm-yyyy"),"Oct-2026"))</f>
        <v/>
      </c>
      <c r="M189" s="40">
        <f>IF(D189&gt;=5000,"🚨 High Value Debit (₹"&amp;TEXT(D189,"#,##0")&amp;")",IF(D189&gt;=1000,"⚡ Notable Expense","—"))</f>
        <v/>
      </c>
    </row>
    <row r="190">
      <c r="A190" s="39" t="inlineStr"/>
      <c r="B190" s="39" t="inlineStr"/>
      <c r="C190" s="39" t="inlineStr"/>
      <c r="D190" s="41" t="inlineStr"/>
      <c r="E190" s="41" t="inlineStr"/>
      <c r="F190" s="41" t="inlineStr"/>
      <c r="G190" s="39" t="inlineStr"/>
      <c r="H190" s="26">
        <f>IF(C190="","",IF(E190&gt;0,"INCOME",IF(D190&gt;0,"EXPENSE","NEUTRAL")))</f>
        <v/>
      </c>
      <c r="I190" s="39">
        <f>IF(C190="","",=IF(OR(ISNUMBER(SEARCH("STIPEND",C190)),ISNUMBER(SEARCH("SIGMASOFT",C190)),ISNUMBER(SEARCH("SALARY",C190))),"Internship Stipend",IF(OR(ISNUMBER(SEARCH("FAMILY",C190)),ISNUMBER(SEARCH("PAPA",C190)),ISNUMBER(SEARCH("MOM",C190)),ISNUMBER(SEARCH("FATHER",C190))),"Family Support",IF(OR(ISNUMBER(SEARCH("PG",C190)),ISNUMBER(SEARCH("RENT",C190)),ISNUMBER(SEARCH("STANZA",C190)),ISNUMBER(SEARCH("ZOLO",C190))),"PG Rent &amp; Covered Meals",IF(OR(ISNUMBER(SEARCH("GROWW",C190)),ISNUMBER(SEARCH("ZERODHA",C190)),ISNUMBER(SEARCH("MUTUAL",C190)),ISNUMBER(SEARCH("SIP",C190)),ISNUMBER(SEARCH("NIPPON",C190))),"Monthly SIP Investment",IF(OR(ISNUMBER(SEARCH("BMTC",C190)),ISNUMBER(SEARCH("BUS",C190)),ISNUMBER(SEARCH("METRO",C190)),ISNUMBER(SEARCH("CHALO",C190))),"BMTC Bus Commute",IF(OR(ISNUMBER(SEARCH("SWIGGY",C190)),ISNUMBER(SEARCH("ZOMATO",C190)),ISNUMBER(SEARCH("CANTEEN",C190)),ISNUMBER(SEARCH("LUNCH",C190)),ISNUMBER(SEARCH("FOOD",C190)),ISNUMBER(SEARCH("SUBWAY",C190))),"Daily Office Lunch (Mon–Sat)",IF(OR(ISNUMBER(SEARCH("BLINKIT",C190)),ISNUMBER(SEARCH("ZEPTO",C190)),ISNUMBER(SEARCH("RECHARGE",C190)),ISNUMBER(SEARCH("JIO",C190)),ISNUMBER(SEARCH("AIRTEL",C190)),ISNUMBER(SEARCH("PHARMACY",C190)),ISNUMBER(SEARCH("APOLLO",C190)),ISNUMBER(SEARCH("ESSENTIALS",C190)),ISNUMBER(SEARCH("LIFESTYLE",C190))),"Lifestyle &amp; Personal Essentials",IF(OR(ISNUMBER(SEARCH("EMERGENCY",C190)),ISNUMBER(SEARCH("SWEEP",C190)),ISNUMBER(SEARCH("RESERVE",C190))),"Emergency Fund Allocation","Unallocated Flex Buffer")))))))))</f>
        <v/>
      </c>
      <c r="J190" s="39" t="inlineStr"/>
      <c r="K190" s="23">
        <f>IF(C190="","",IF(J190&lt;&gt;"",J190,I190))</f>
        <v/>
      </c>
      <c r="L190" s="40">
        <f>IF(A190="","",IF(ISNUMBER(A190),TEXT(A190,"mmm-yyyy"),"Oct-2026"))</f>
        <v/>
      </c>
      <c r="M190" s="40">
        <f>IF(D190&gt;=5000,"🚨 High Value Debit (₹"&amp;TEXT(D190,"#,##0")&amp;")",IF(D190&gt;=1000,"⚡ Notable Expense","—"))</f>
        <v/>
      </c>
    </row>
    <row r="191">
      <c r="A191" s="39" t="inlineStr"/>
      <c r="B191" s="39" t="inlineStr"/>
      <c r="C191" s="39" t="inlineStr"/>
      <c r="D191" s="41" t="inlineStr"/>
      <c r="E191" s="41" t="inlineStr"/>
      <c r="F191" s="41" t="inlineStr"/>
      <c r="G191" s="39" t="inlineStr"/>
      <c r="H191" s="26">
        <f>IF(C191="","",IF(E191&gt;0,"INCOME",IF(D191&gt;0,"EXPENSE","NEUTRAL")))</f>
        <v/>
      </c>
      <c r="I191" s="39">
        <f>IF(C191="","",=IF(OR(ISNUMBER(SEARCH("STIPEND",C191)),ISNUMBER(SEARCH("SIGMASOFT",C191)),ISNUMBER(SEARCH("SALARY",C191))),"Internship Stipend",IF(OR(ISNUMBER(SEARCH("FAMILY",C191)),ISNUMBER(SEARCH("PAPA",C191)),ISNUMBER(SEARCH("MOM",C191)),ISNUMBER(SEARCH("FATHER",C191))),"Family Support",IF(OR(ISNUMBER(SEARCH("PG",C191)),ISNUMBER(SEARCH("RENT",C191)),ISNUMBER(SEARCH("STANZA",C191)),ISNUMBER(SEARCH("ZOLO",C191))),"PG Rent &amp; Covered Meals",IF(OR(ISNUMBER(SEARCH("GROWW",C191)),ISNUMBER(SEARCH("ZERODHA",C191)),ISNUMBER(SEARCH("MUTUAL",C191)),ISNUMBER(SEARCH("SIP",C191)),ISNUMBER(SEARCH("NIPPON",C191))),"Monthly SIP Investment",IF(OR(ISNUMBER(SEARCH("BMTC",C191)),ISNUMBER(SEARCH("BUS",C191)),ISNUMBER(SEARCH("METRO",C191)),ISNUMBER(SEARCH("CHALO",C191))),"BMTC Bus Commute",IF(OR(ISNUMBER(SEARCH("SWIGGY",C191)),ISNUMBER(SEARCH("ZOMATO",C191)),ISNUMBER(SEARCH("CANTEEN",C191)),ISNUMBER(SEARCH("LUNCH",C191)),ISNUMBER(SEARCH("FOOD",C191)),ISNUMBER(SEARCH("SUBWAY",C191))),"Daily Office Lunch (Mon–Sat)",IF(OR(ISNUMBER(SEARCH("BLINKIT",C191)),ISNUMBER(SEARCH("ZEPTO",C191)),ISNUMBER(SEARCH("RECHARGE",C191)),ISNUMBER(SEARCH("JIO",C191)),ISNUMBER(SEARCH("AIRTEL",C191)),ISNUMBER(SEARCH("PHARMACY",C191)),ISNUMBER(SEARCH("APOLLO",C191)),ISNUMBER(SEARCH("ESSENTIALS",C191)),ISNUMBER(SEARCH("LIFESTYLE",C191))),"Lifestyle &amp; Personal Essentials",IF(OR(ISNUMBER(SEARCH("EMERGENCY",C191)),ISNUMBER(SEARCH("SWEEP",C191)),ISNUMBER(SEARCH("RESERVE",C191))),"Emergency Fund Allocation","Unallocated Flex Buffer")))))))))</f>
        <v/>
      </c>
      <c r="J191" s="39" t="inlineStr"/>
      <c r="K191" s="23">
        <f>IF(C191="","",IF(J191&lt;&gt;"",J191,I191))</f>
        <v/>
      </c>
      <c r="L191" s="40">
        <f>IF(A191="","",IF(ISNUMBER(A191),TEXT(A191,"mmm-yyyy"),"Oct-2026"))</f>
        <v/>
      </c>
      <c r="M191" s="40">
        <f>IF(D191&gt;=5000,"🚨 High Value Debit (₹"&amp;TEXT(D191,"#,##0")&amp;")",IF(D191&gt;=1000,"⚡ Notable Expense","—"))</f>
        <v/>
      </c>
    </row>
    <row r="192">
      <c r="A192" s="39" t="inlineStr"/>
      <c r="B192" s="39" t="inlineStr"/>
      <c r="C192" s="39" t="inlineStr"/>
      <c r="D192" s="41" t="inlineStr"/>
      <c r="E192" s="41" t="inlineStr"/>
      <c r="F192" s="41" t="inlineStr"/>
      <c r="G192" s="39" t="inlineStr"/>
      <c r="H192" s="26">
        <f>IF(C192="","",IF(E192&gt;0,"INCOME",IF(D192&gt;0,"EXPENSE","NEUTRAL")))</f>
        <v/>
      </c>
      <c r="I192" s="39">
        <f>IF(C192="","",=IF(OR(ISNUMBER(SEARCH("STIPEND",C192)),ISNUMBER(SEARCH("SIGMASOFT",C192)),ISNUMBER(SEARCH("SALARY",C192))),"Internship Stipend",IF(OR(ISNUMBER(SEARCH("FAMILY",C192)),ISNUMBER(SEARCH("PAPA",C192)),ISNUMBER(SEARCH("MOM",C192)),ISNUMBER(SEARCH("FATHER",C192))),"Family Support",IF(OR(ISNUMBER(SEARCH("PG",C192)),ISNUMBER(SEARCH("RENT",C192)),ISNUMBER(SEARCH("STANZA",C192)),ISNUMBER(SEARCH("ZOLO",C192))),"PG Rent &amp; Covered Meals",IF(OR(ISNUMBER(SEARCH("GROWW",C192)),ISNUMBER(SEARCH("ZERODHA",C192)),ISNUMBER(SEARCH("MUTUAL",C192)),ISNUMBER(SEARCH("SIP",C192)),ISNUMBER(SEARCH("NIPPON",C192))),"Monthly SIP Investment",IF(OR(ISNUMBER(SEARCH("BMTC",C192)),ISNUMBER(SEARCH("BUS",C192)),ISNUMBER(SEARCH("METRO",C192)),ISNUMBER(SEARCH("CHALO",C192))),"BMTC Bus Commute",IF(OR(ISNUMBER(SEARCH("SWIGGY",C192)),ISNUMBER(SEARCH("ZOMATO",C192)),ISNUMBER(SEARCH("CANTEEN",C192)),ISNUMBER(SEARCH("LUNCH",C192)),ISNUMBER(SEARCH("FOOD",C192)),ISNUMBER(SEARCH("SUBWAY",C192))),"Daily Office Lunch (Mon–Sat)",IF(OR(ISNUMBER(SEARCH("BLINKIT",C192)),ISNUMBER(SEARCH("ZEPTO",C192)),ISNUMBER(SEARCH("RECHARGE",C192)),ISNUMBER(SEARCH("JIO",C192)),ISNUMBER(SEARCH("AIRTEL",C192)),ISNUMBER(SEARCH("PHARMACY",C192)),ISNUMBER(SEARCH("APOLLO",C192)),ISNUMBER(SEARCH("ESSENTIALS",C192)),ISNUMBER(SEARCH("LIFESTYLE",C192))),"Lifestyle &amp; Personal Essentials",IF(OR(ISNUMBER(SEARCH("EMERGENCY",C192)),ISNUMBER(SEARCH("SWEEP",C192)),ISNUMBER(SEARCH("RESERVE",C192))),"Emergency Fund Allocation","Unallocated Flex Buffer")))))))))</f>
        <v/>
      </c>
      <c r="J192" s="39" t="inlineStr"/>
      <c r="K192" s="23">
        <f>IF(C192="","",IF(J192&lt;&gt;"",J192,I192))</f>
        <v/>
      </c>
      <c r="L192" s="40">
        <f>IF(A192="","",IF(ISNUMBER(A192),TEXT(A192,"mmm-yyyy"),"Oct-2026"))</f>
        <v/>
      </c>
      <c r="M192" s="40">
        <f>IF(D192&gt;=5000,"🚨 High Value Debit (₹"&amp;TEXT(D192,"#,##0")&amp;")",IF(D192&gt;=1000,"⚡ Notable Expense","—"))</f>
        <v/>
      </c>
    </row>
    <row r="193">
      <c r="A193" s="39" t="inlineStr"/>
      <c r="B193" s="39" t="inlineStr"/>
      <c r="C193" s="39" t="inlineStr"/>
      <c r="D193" s="41" t="inlineStr"/>
      <c r="E193" s="41" t="inlineStr"/>
      <c r="F193" s="41" t="inlineStr"/>
      <c r="G193" s="39" t="inlineStr"/>
      <c r="H193" s="26">
        <f>IF(C193="","",IF(E193&gt;0,"INCOME",IF(D193&gt;0,"EXPENSE","NEUTRAL")))</f>
        <v/>
      </c>
      <c r="I193" s="39">
        <f>IF(C193="","",=IF(OR(ISNUMBER(SEARCH("STIPEND",C193)),ISNUMBER(SEARCH("SIGMASOFT",C193)),ISNUMBER(SEARCH("SALARY",C193))),"Internship Stipend",IF(OR(ISNUMBER(SEARCH("FAMILY",C193)),ISNUMBER(SEARCH("PAPA",C193)),ISNUMBER(SEARCH("MOM",C193)),ISNUMBER(SEARCH("FATHER",C193))),"Family Support",IF(OR(ISNUMBER(SEARCH("PG",C193)),ISNUMBER(SEARCH("RENT",C193)),ISNUMBER(SEARCH("STANZA",C193)),ISNUMBER(SEARCH("ZOLO",C193))),"PG Rent &amp; Covered Meals",IF(OR(ISNUMBER(SEARCH("GROWW",C193)),ISNUMBER(SEARCH("ZERODHA",C193)),ISNUMBER(SEARCH("MUTUAL",C193)),ISNUMBER(SEARCH("SIP",C193)),ISNUMBER(SEARCH("NIPPON",C193))),"Monthly SIP Investment",IF(OR(ISNUMBER(SEARCH("BMTC",C193)),ISNUMBER(SEARCH("BUS",C193)),ISNUMBER(SEARCH("METRO",C193)),ISNUMBER(SEARCH("CHALO",C193))),"BMTC Bus Commute",IF(OR(ISNUMBER(SEARCH("SWIGGY",C193)),ISNUMBER(SEARCH("ZOMATO",C193)),ISNUMBER(SEARCH("CANTEEN",C193)),ISNUMBER(SEARCH("LUNCH",C193)),ISNUMBER(SEARCH("FOOD",C193)),ISNUMBER(SEARCH("SUBWAY",C193))),"Daily Office Lunch (Mon–Sat)",IF(OR(ISNUMBER(SEARCH("BLINKIT",C193)),ISNUMBER(SEARCH("ZEPTO",C193)),ISNUMBER(SEARCH("RECHARGE",C193)),ISNUMBER(SEARCH("JIO",C193)),ISNUMBER(SEARCH("AIRTEL",C193)),ISNUMBER(SEARCH("PHARMACY",C193)),ISNUMBER(SEARCH("APOLLO",C193)),ISNUMBER(SEARCH("ESSENTIALS",C193)),ISNUMBER(SEARCH("LIFESTYLE",C193))),"Lifestyle &amp; Personal Essentials",IF(OR(ISNUMBER(SEARCH("EMERGENCY",C193)),ISNUMBER(SEARCH("SWEEP",C193)),ISNUMBER(SEARCH("RESERVE",C193))),"Emergency Fund Allocation","Unallocated Flex Buffer")))))))))</f>
        <v/>
      </c>
      <c r="J193" s="39" t="inlineStr"/>
      <c r="K193" s="23">
        <f>IF(C193="","",IF(J193&lt;&gt;"",J193,I193))</f>
        <v/>
      </c>
      <c r="L193" s="40">
        <f>IF(A193="","",IF(ISNUMBER(A193),TEXT(A193,"mmm-yyyy"),"Oct-2026"))</f>
        <v/>
      </c>
      <c r="M193" s="40">
        <f>IF(D193&gt;=5000,"🚨 High Value Debit (₹"&amp;TEXT(D193,"#,##0")&amp;")",IF(D193&gt;=1000,"⚡ Notable Expense","—"))</f>
        <v/>
      </c>
    </row>
    <row r="194">
      <c r="A194" s="39" t="inlineStr"/>
      <c r="B194" s="39" t="inlineStr"/>
      <c r="C194" s="39" t="inlineStr"/>
      <c r="D194" s="41" t="inlineStr"/>
      <c r="E194" s="41" t="inlineStr"/>
      <c r="F194" s="41" t="inlineStr"/>
      <c r="G194" s="39" t="inlineStr"/>
      <c r="H194" s="26">
        <f>IF(C194="","",IF(E194&gt;0,"INCOME",IF(D194&gt;0,"EXPENSE","NEUTRAL")))</f>
        <v/>
      </c>
      <c r="I194" s="39">
        <f>IF(C194="","",=IF(OR(ISNUMBER(SEARCH("STIPEND",C194)),ISNUMBER(SEARCH("SIGMASOFT",C194)),ISNUMBER(SEARCH("SALARY",C194))),"Internship Stipend",IF(OR(ISNUMBER(SEARCH("FAMILY",C194)),ISNUMBER(SEARCH("PAPA",C194)),ISNUMBER(SEARCH("MOM",C194)),ISNUMBER(SEARCH("FATHER",C194))),"Family Support",IF(OR(ISNUMBER(SEARCH("PG",C194)),ISNUMBER(SEARCH("RENT",C194)),ISNUMBER(SEARCH("STANZA",C194)),ISNUMBER(SEARCH("ZOLO",C194))),"PG Rent &amp; Covered Meals",IF(OR(ISNUMBER(SEARCH("GROWW",C194)),ISNUMBER(SEARCH("ZERODHA",C194)),ISNUMBER(SEARCH("MUTUAL",C194)),ISNUMBER(SEARCH("SIP",C194)),ISNUMBER(SEARCH("NIPPON",C194))),"Monthly SIP Investment",IF(OR(ISNUMBER(SEARCH("BMTC",C194)),ISNUMBER(SEARCH("BUS",C194)),ISNUMBER(SEARCH("METRO",C194)),ISNUMBER(SEARCH("CHALO",C194))),"BMTC Bus Commute",IF(OR(ISNUMBER(SEARCH("SWIGGY",C194)),ISNUMBER(SEARCH("ZOMATO",C194)),ISNUMBER(SEARCH("CANTEEN",C194)),ISNUMBER(SEARCH("LUNCH",C194)),ISNUMBER(SEARCH("FOOD",C194)),ISNUMBER(SEARCH("SUBWAY",C194))),"Daily Office Lunch (Mon–Sat)",IF(OR(ISNUMBER(SEARCH("BLINKIT",C194)),ISNUMBER(SEARCH("ZEPTO",C194)),ISNUMBER(SEARCH("RECHARGE",C194)),ISNUMBER(SEARCH("JIO",C194)),ISNUMBER(SEARCH("AIRTEL",C194)),ISNUMBER(SEARCH("PHARMACY",C194)),ISNUMBER(SEARCH("APOLLO",C194)),ISNUMBER(SEARCH("ESSENTIALS",C194)),ISNUMBER(SEARCH("LIFESTYLE",C194))),"Lifestyle &amp; Personal Essentials",IF(OR(ISNUMBER(SEARCH("EMERGENCY",C194)),ISNUMBER(SEARCH("SWEEP",C194)),ISNUMBER(SEARCH("RESERVE",C194))),"Emergency Fund Allocation","Unallocated Flex Buffer")))))))))</f>
        <v/>
      </c>
      <c r="J194" s="39" t="inlineStr"/>
      <c r="K194" s="23">
        <f>IF(C194="","",IF(J194&lt;&gt;"",J194,I194))</f>
        <v/>
      </c>
      <c r="L194" s="40">
        <f>IF(A194="","",IF(ISNUMBER(A194),TEXT(A194,"mmm-yyyy"),"Oct-2026"))</f>
        <v/>
      </c>
      <c r="M194" s="40">
        <f>IF(D194&gt;=5000,"🚨 High Value Debit (₹"&amp;TEXT(D194,"#,##0")&amp;")",IF(D194&gt;=1000,"⚡ Notable Expense","—"))</f>
        <v/>
      </c>
    </row>
    <row r="195">
      <c r="A195" s="39" t="inlineStr"/>
      <c r="B195" s="39" t="inlineStr"/>
      <c r="C195" s="39" t="inlineStr"/>
      <c r="D195" s="41" t="inlineStr"/>
      <c r="E195" s="41" t="inlineStr"/>
      <c r="F195" s="41" t="inlineStr"/>
      <c r="G195" s="39" t="inlineStr"/>
      <c r="H195" s="26">
        <f>IF(C195="","",IF(E195&gt;0,"INCOME",IF(D195&gt;0,"EXPENSE","NEUTRAL")))</f>
        <v/>
      </c>
      <c r="I195" s="39">
        <f>IF(C195="","",=IF(OR(ISNUMBER(SEARCH("STIPEND",C195)),ISNUMBER(SEARCH("SIGMASOFT",C195)),ISNUMBER(SEARCH("SALARY",C195))),"Internship Stipend",IF(OR(ISNUMBER(SEARCH("FAMILY",C195)),ISNUMBER(SEARCH("PAPA",C195)),ISNUMBER(SEARCH("MOM",C195)),ISNUMBER(SEARCH("FATHER",C195))),"Family Support",IF(OR(ISNUMBER(SEARCH("PG",C195)),ISNUMBER(SEARCH("RENT",C195)),ISNUMBER(SEARCH("STANZA",C195)),ISNUMBER(SEARCH("ZOLO",C195))),"PG Rent &amp; Covered Meals",IF(OR(ISNUMBER(SEARCH("GROWW",C195)),ISNUMBER(SEARCH("ZERODHA",C195)),ISNUMBER(SEARCH("MUTUAL",C195)),ISNUMBER(SEARCH("SIP",C195)),ISNUMBER(SEARCH("NIPPON",C195))),"Monthly SIP Investment",IF(OR(ISNUMBER(SEARCH("BMTC",C195)),ISNUMBER(SEARCH("BUS",C195)),ISNUMBER(SEARCH("METRO",C195)),ISNUMBER(SEARCH("CHALO",C195))),"BMTC Bus Commute",IF(OR(ISNUMBER(SEARCH("SWIGGY",C195)),ISNUMBER(SEARCH("ZOMATO",C195)),ISNUMBER(SEARCH("CANTEEN",C195)),ISNUMBER(SEARCH("LUNCH",C195)),ISNUMBER(SEARCH("FOOD",C195)),ISNUMBER(SEARCH("SUBWAY",C195))),"Daily Office Lunch (Mon–Sat)",IF(OR(ISNUMBER(SEARCH("BLINKIT",C195)),ISNUMBER(SEARCH("ZEPTO",C195)),ISNUMBER(SEARCH("RECHARGE",C195)),ISNUMBER(SEARCH("JIO",C195)),ISNUMBER(SEARCH("AIRTEL",C195)),ISNUMBER(SEARCH("PHARMACY",C195)),ISNUMBER(SEARCH("APOLLO",C195)),ISNUMBER(SEARCH("ESSENTIALS",C195)),ISNUMBER(SEARCH("LIFESTYLE",C195))),"Lifestyle &amp; Personal Essentials",IF(OR(ISNUMBER(SEARCH("EMERGENCY",C195)),ISNUMBER(SEARCH("SWEEP",C195)),ISNUMBER(SEARCH("RESERVE",C195))),"Emergency Fund Allocation","Unallocated Flex Buffer")))))))))</f>
        <v/>
      </c>
      <c r="J195" s="39" t="inlineStr"/>
      <c r="K195" s="23">
        <f>IF(C195="","",IF(J195&lt;&gt;"",J195,I195))</f>
        <v/>
      </c>
      <c r="L195" s="40">
        <f>IF(A195="","",IF(ISNUMBER(A195),TEXT(A195,"mmm-yyyy"),"Oct-2026"))</f>
        <v/>
      </c>
      <c r="M195" s="40">
        <f>IF(D195&gt;=5000,"🚨 High Value Debit (₹"&amp;TEXT(D195,"#,##0")&amp;")",IF(D195&gt;=1000,"⚡ Notable Expense","—"))</f>
        <v/>
      </c>
    </row>
    <row r="196">
      <c r="A196" s="39" t="inlineStr"/>
      <c r="B196" s="39" t="inlineStr"/>
      <c r="C196" s="39" t="inlineStr"/>
      <c r="D196" s="41" t="inlineStr"/>
      <c r="E196" s="41" t="inlineStr"/>
      <c r="F196" s="41" t="inlineStr"/>
      <c r="G196" s="39" t="inlineStr"/>
      <c r="H196" s="26">
        <f>IF(C196="","",IF(E196&gt;0,"INCOME",IF(D196&gt;0,"EXPENSE","NEUTRAL")))</f>
        <v/>
      </c>
      <c r="I196" s="39">
        <f>IF(C196="","",=IF(OR(ISNUMBER(SEARCH("STIPEND",C196)),ISNUMBER(SEARCH("SIGMASOFT",C196)),ISNUMBER(SEARCH("SALARY",C196))),"Internship Stipend",IF(OR(ISNUMBER(SEARCH("FAMILY",C196)),ISNUMBER(SEARCH("PAPA",C196)),ISNUMBER(SEARCH("MOM",C196)),ISNUMBER(SEARCH("FATHER",C196))),"Family Support",IF(OR(ISNUMBER(SEARCH("PG",C196)),ISNUMBER(SEARCH("RENT",C196)),ISNUMBER(SEARCH("STANZA",C196)),ISNUMBER(SEARCH("ZOLO",C196))),"PG Rent &amp; Covered Meals",IF(OR(ISNUMBER(SEARCH("GROWW",C196)),ISNUMBER(SEARCH("ZERODHA",C196)),ISNUMBER(SEARCH("MUTUAL",C196)),ISNUMBER(SEARCH("SIP",C196)),ISNUMBER(SEARCH("NIPPON",C196))),"Monthly SIP Investment",IF(OR(ISNUMBER(SEARCH("BMTC",C196)),ISNUMBER(SEARCH("BUS",C196)),ISNUMBER(SEARCH("METRO",C196)),ISNUMBER(SEARCH("CHALO",C196))),"BMTC Bus Commute",IF(OR(ISNUMBER(SEARCH("SWIGGY",C196)),ISNUMBER(SEARCH("ZOMATO",C196)),ISNUMBER(SEARCH("CANTEEN",C196)),ISNUMBER(SEARCH("LUNCH",C196)),ISNUMBER(SEARCH("FOOD",C196)),ISNUMBER(SEARCH("SUBWAY",C196))),"Daily Office Lunch (Mon–Sat)",IF(OR(ISNUMBER(SEARCH("BLINKIT",C196)),ISNUMBER(SEARCH("ZEPTO",C196)),ISNUMBER(SEARCH("RECHARGE",C196)),ISNUMBER(SEARCH("JIO",C196)),ISNUMBER(SEARCH("AIRTEL",C196)),ISNUMBER(SEARCH("PHARMACY",C196)),ISNUMBER(SEARCH("APOLLO",C196)),ISNUMBER(SEARCH("ESSENTIALS",C196)),ISNUMBER(SEARCH("LIFESTYLE",C196))),"Lifestyle &amp; Personal Essentials",IF(OR(ISNUMBER(SEARCH("EMERGENCY",C196)),ISNUMBER(SEARCH("SWEEP",C196)),ISNUMBER(SEARCH("RESERVE",C196))),"Emergency Fund Allocation","Unallocated Flex Buffer")))))))))</f>
        <v/>
      </c>
      <c r="J196" s="39" t="inlineStr"/>
      <c r="K196" s="23">
        <f>IF(C196="","",IF(J196&lt;&gt;"",J196,I196))</f>
        <v/>
      </c>
      <c r="L196" s="40">
        <f>IF(A196="","",IF(ISNUMBER(A196),TEXT(A196,"mmm-yyyy"),"Oct-2026"))</f>
        <v/>
      </c>
      <c r="M196" s="40">
        <f>IF(D196&gt;=5000,"🚨 High Value Debit (₹"&amp;TEXT(D196,"#,##0")&amp;")",IF(D196&gt;=1000,"⚡ Notable Expense","—"))</f>
        <v/>
      </c>
    </row>
    <row r="197">
      <c r="A197" s="39" t="inlineStr"/>
      <c r="B197" s="39" t="inlineStr"/>
      <c r="C197" s="39" t="inlineStr"/>
      <c r="D197" s="41" t="inlineStr"/>
      <c r="E197" s="41" t="inlineStr"/>
      <c r="F197" s="41" t="inlineStr"/>
      <c r="G197" s="39" t="inlineStr"/>
      <c r="H197" s="26">
        <f>IF(C197="","",IF(E197&gt;0,"INCOME",IF(D197&gt;0,"EXPENSE","NEUTRAL")))</f>
        <v/>
      </c>
      <c r="I197" s="39">
        <f>IF(C197="","",=IF(OR(ISNUMBER(SEARCH("STIPEND",C197)),ISNUMBER(SEARCH("SIGMASOFT",C197)),ISNUMBER(SEARCH("SALARY",C197))),"Internship Stipend",IF(OR(ISNUMBER(SEARCH("FAMILY",C197)),ISNUMBER(SEARCH("PAPA",C197)),ISNUMBER(SEARCH("MOM",C197)),ISNUMBER(SEARCH("FATHER",C197))),"Family Support",IF(OR(ISNUMBER(SEARCH("PG",C197)),ISNUMBER(SEARCH("RENT",C197)),ISNUMBER(SEARCH("STANZA",C197)),ISNUMBER(SEARCH("ZOLO",C197))),"PG Rent &amp; Covered Meals",IF(OR(ISNUMBER(SEARCH("GROWW",C197)),ISNUMBER(SEARCH("ZERODHA",C197)),ISNUMBER(SEARCH("MUTUAL",C197)),ISNUMBER(SEARCH("SIP",C197)),ISNUMBER(SEARCH("NIPPON",C197))),"Monthly SIP Investment",IF(OR(ISNUMBER(SEARCH("BMTC",C197)),ISNUMBER(SEARCH("BUS",C197)),ISNUMBER(SEARCH("METRO",C197)),ISNUMBER(SEARCH("CHALO",C197))),"BMTC Bus Commute",IF(OR(ISNUMBER(SEARCH("SWIGGY",C197)),ISNUMBER(SEARCH("ZOMATO",C197)),ISNUMBER(SEARCH("CANTEEN",C197)),ISNUMBER(SEARCH("LUNCH",C197)),ISNUMBER(SEARCH("FOOD",C197)),ISNUMBER(SEARCH("SUBWAY",C197))),"Daily Office Lunch (Mon–Sat)",IF(OR(ISNUMBER(SEARCH("BLINKIT",C197)),ISNUMBER(SEARCH("ZEPTO",C197)),ISNUMBER(SEARCH("RECHARGE",C197)),ISNUMBER(SEARCH("JIO",C197)),ISNUMBER(SEARCH("AIRTEL",C197)),ISNUMBER(SEARCH("PHARMACY",C197)),ISNUMBER(SEARCH("APOLLO",C197)),ISNUMBER(SEARCH("ESSENTIALS",C197)),ISNUMBER(SEARCH("LIFESTYLE",C197))),"Lifestyle &amp; Personal Essentials",IF(OR(ISNUMBER(SEARCH("EMERGENCY",C197)),ISNUMBER(SEARCH("SWEEP",C197)),ISNUMBER(SEARCH("RESERVE",C197))),"Emergency Fund Allocation","Unallocated Flex Buffer")))))))))</f>
        <v/>
      </c>
      <c r="J197" s="39" t="inlineStr"/>
      <c r="K197" s="23">
        <f>IF(C197="","",IF(J197&lt;&gt;"",J197,I197))</f>
        <v/>
      </c>
      <c r="L197" s="40">
        <f>IF(A197="","",IF(ISNUMBER(A197),TEXT(A197,"mmm-yyyy"),"Oct-2026"))</f>
        <v/>
      </c>
      <c r="M197" s="40">
        <f>IF(D197&gt;=5000,"🚨 High Value Debit (₹"&amp;TEXT(D197,"#,##0")&amp;")",IF(D197&gt;=1000,"⚡ Notable Expense","—"))</f>
        <v/>
      </c>
    </row>
    <row r="198">
      <c r="A198" s="39" t="inlineStr"/>
      <c r="B198" s="39" t="inlineStr"/>
      <c r="C198" s="39" t="inlineStr"/>
      <c r="D198" s="41" t="inlineStr"/>
      <c r="E198" s="41" t="inlineStr"/>
      <c r="F198" s="41" t="inlineStr"/>
      <c r="G198" s="39" t="inlineStr"/>
      <c r="H198" s="26">
        <f>IF(C198="","",IF(E198&gt;0,"INCOME",IF(D198&gt;0,"EXPENSE","NEUTRAL")))</f>
        <v/>
      </c>
      <c r="I198" s="39">
        <f>IF(C198="","",=IF(OR(ISNUMBER(SEARCH("STIPEND",C198)),ISNUMBER(SEARCH("SIGMASOFT",C198)),ISNUMBER(SEARCH("SALARY",C198))),"Internship Stipend",IF(OR(ISNUMBER(SEARCH("FAMILY",C198)),ISNUMBER(SEARCH("PAPA",C198)),ISNUMBER(SEARCH("MOM",C198)),ISNUMBER(SEARCH("FATHER",C198))),"Family Support",IF(OR(ISNUMBER(SEARCH("PG",C198)),ISNUMBER(SEARCH("RENT",C198)),ISNUMBER(SEARCH("STANZA",C198)),ISNUMBER(SEARCH("ZOLO",C198))),"PG Rent &amp; Covered Meals",IF(OR(ISNUMBER(SEARCH("GROWW",C198)),ISNUMBER(SEARCH("ZERODHA",C198)),ISNUMBER(SEARCH("MUTUAL",C198)),ISNUMBER(SEARCH("SIP",C198)),ISNUMBER(SEARCH("NIPPON",C198))),"Monthly SIP Investment",IF(OR(ISNUMBER(SEARCH("BMTC",C198)),ISNUMBER(SEARCH("BUS",C198)),ISNUMBER(SEARCH("METRO",C198)),ISNUMBER(SEARCH("CHALO",C198))),"BMTC Bus Commute",IF(OR(ISNUMBER(SEARCH("SWIGGY",C198)),ISNUMBER(SEARCH("ZOMATO",C198)),ISNUMBER(SEARCH("CANTEEN",C198)),ISNUMBER(SEARCH("LUNCH",C198)),ISNUMBER(SEARCH("FOOD",C198)),ISNUMBER(SEARCH("SUBWAY",C198))),"Daily Office Lunch (Mon–Sat)",IF(OR(ISNUMBER(SEARCH("BLINKIT",C198)),ISNUMBER(SEARCH("ZEPTO",C198)),ISNUMBER(SEARCH("RECHARGE",C198)),ISNUMBER(SEARCH("JIO",C198)),ISNUMBER(SEARCH("AIRTEL",C198)),ISNUMBER(SEARCH("PHARMACY",C198)),ISNUMBER(SEARCH("APOLLO",C198)),ISNUMBER(SEARCH("ESSENTIALS",C198)),ISNUMBER(SEARCH("LIFESTYLE",C198))),"Lifestyle &amp; Personal Essentials",IF(OR(ISNUMBER(SEARCH("EMERGENCY",C198)),ISNUMBER(SEARCH("SWEEP",C198)),ISNUMBER(SEARCH("RESERVE",C198))),"Emergency Fund Allocation","Unallocated Flex Buffer")))))))))</f>
        <v/>
      </c>
      <c r="J198" s="39" t="inlineStr"/>
      <c r="K198" s="23">
        <f>IF(C198="","",IF(J198&lt;&gt;"",J198,I198))</f>
        <v/>
      </c>
      <c r="L198" s="40">
        <f>IF(A198="","",IF(ISNUMBER(A198),TEXT(A198,"mmm-yyyy"),"Oct-2026"))</f>
        <v/>
      </c>
      <c r="M198" s="40">
        <f>IF(D198&gt;=5000,"🚨 High Value Debit (₹"&amp;TEXT(D198,"#,##0")&amp;")",IF(D198&gt;=1000,"⚡ Notable Expense","—"))</f>
        <v/>
      </c>
    </row>
    <row r="199">
      <c r="A199" s="39" t="inlineStr"/>
      <c r="B199" s="39" t="inlineStr"/>
      <c r="C199" s="39" t="inlineStr"/>
      <c r="D199" s="41" t="inlineStr"/>
      <c r="E199" s="41" t="inlineStr"/>
      <c r="F199" s="41" t="inlineStr"/>
      <c r="G199" s="39" t="inlineStr"/>
      <c r="H199" s="26">
        <f>IF(C199="","",IF(E199&gt;0,"INCOME",IF(D199&gt;0,"EXPENSE","NEUTRAL")))</f>
        <v/>
      </c>
      <c r="I199" s="39">
        <f>IF(C199="","",=IF(OR(ISNUMBER(SEARCH("STIPEND",C199)),ISNUMBER(SEARCH("SIGMASOFT",C199)),ISNUMBER(SEARCH("SALARY",C199))),"Internship Stipend",IF(OR(ISNUMBER(SEARCH("FAMILY",C199)),ISNUMBER(SEARCH("PAPA",C199)),ISNUMBER(SEARCH("MOM",C199)),ISNUMBER(SEARCH("FATHER",C199))),"Family Support",IF(OR(ISNUMBER(SEARCH("PG",C199)),ISNUMBER(SEARCH("RENT",C199)),ISNUMBER(SEARCH("STANZA",C199)),ISNUMBER(SEARCH("ZOLO",C199))),"PG Rent &amp; Covered Meals",IF(OR(ISNUMBER(SEARCH("GROWW",C199)),ISNUMBER(SEARCH("ZERODHA",C199)),ISNUMBER(SEARCH("MUTUAL",C199)),ISNUMBER(SEARCH("SIP",C199)),ISNUMBER(SEARCH("NIPPON",C199))),"Monthly SIP Investment",IF(OR(ISNUMBER(SEARCH("BMTC",C199)),ISNUMBER(SEARCH("BUS",C199)),ISNUMBER(SEARCH("METRO",C199)),ISNUMBER(SEARCH("CHALO",C199))),"BMTC Bus Commute",IF(OR(ISNUMBER(SEARCH("SWIGGY",C199)),ISNUMBER(SEARCH("ZOMATO",C199)),ISNUMBER(SEARCH("CANTEEN",C199)),ISNUMBER(SEARCH("LUNCH",C199)),ISNUMBER(SEARCH("FOOD",C199)),ISNUMBER(SEARCH("SUBWAY",C199))),"Daily Office Lunch (Mon–Sat)",IF(OR(ISNUMBER(SEARCH("BLINKIT",C199)),ISNUMBER(SEARCH("ZEPTO",C199)),ISNUMBER(SEARCH("RECHARGE",C199)),ISNUMBER(SEARCH("JIO",C199)),ISNUMBER(SEARCH("AIRTEL",C199)),ISNUMBER(SEARCH("PHARMACY",C199)),ISNUMBER(SEARCH("APOLLO",C199)),ISNUMBER(SEARCH("ESSENTIALS",C199)),ISNUMBER(SEARCH("LIFESTYLE",C199))),"Lifestyle &amp; Personal Essentials",IF(OR(ISNUMBER(SEARCH("EMERGENCY",C199)),ISNUMBER(SEARCH("SWEEP",C199)),ISNUMBER(SEARCH("RESERVE",C199))),"Emergency Fund Allocation","Unallocated Flex Buffer")))))))))</f>
        <v/>
      </c>
      <c r="J199" s="39" t="inlineStr"/>
      <c r="K199" s="23">
        <f>IF(C199="","",IF(J199&lt;&gt;"",J199,I199))</f>
        <v/>
      </c>
      <c r="L199" s="40">
        <f>IF(A199="","",IF(ISNUMBER(A199),TEXT(A199,"mmm-yyyy"),"Oct-2026"))</f>
        <v/>
      </c>
      <c r="M199" s="40">
        <f>IF(D199&gt;=5000,"🚨 High Value Debit (₹"&amp;TEXT(D199,"#,##0")&amp;")",IF(D199&gt;=1000,"⚡ Notable Expense","—"))</f>
        <v/>
      </c>
    </row>
    <row r="200">
      <c r="A200" s="39" t="inlineStr"/>
      <c r="B200" s="39" t="inlineStr"/>
      <c r="C200" s="39" t="inlineStr"/>
      <c r="D200" s="41" t="inlineStr"/>
      <c r="E200" s="41" t="inlineStr"/>
      <c r="F200" s="41" t="inlineStr"/>
      <c r="G200" s="39" t="inlineStr"/>
      <c r="H200" s="26">
        <f>IF(C200="","",IF(E200&gt;0,"INCOME",IF(D200&gt;0,"EXPENSE","NEUTRAL")))</f>
        <v/>
      </c>
      <c r="I200" s="39">
        <f>IF(C200="","",=IF(OR(ISNUMBER(SEARCH("STIPEND",C200)),ISNUMBER(SEARCH("SIGMASOFT",C200)),ISNUMBER(SEARCH("SALARY",C200))),"Internship Stipend",IF(OR(ISNUMBER(SEARCH("FAMILY",C200)),ISNUMBER(SEARCH("PAPA",C200)),ISNUMBER(SEARCH("MOM",C200)),ISNUMBER(SEARCH("FATHER",C200))),"Family Support",IF(OR(ISNUMBER(SEARCH("PG",C200)),ISNUMBER(SEARCH("RENT",C200)),ISNUMBER(SEARCH("STANZA",C200)),ISNUMBER(SEARCH("ZOLO",C200))),"PG Rent &amp; Covered Meals",IF(OR(ISNUMBER(SEARCH("GROWW",C200)),ISNUMBER(SEARCH("ZERODHA",C200)),ISNUMBER(SEARCH("MUTUAL",C200)),ISNUMBER(SEARCH("SIP",C200)),ISNUMBER(SEARCH("NIPPON",C200))),"Monthly SIP Investment",IF(OR(ISNUMBER(SEARCH("BMTC",C200)),ISNUMBER(SEARCH("BUS",C200)),ISNUMBER(SEARCH("METRO",C200)),ISNUMBER(SEARCH("CHALO",C200))),"BMTC Bus Commute",IF(OR(ISNUMBER(SEARCH("SWIGGY",C200)),ISNUMBER(SEARCH("ZOMATO",C200)),ISNUMBER(SEARCH("CANTEEN",C200)),ISNUMBER(SEARCH("LUNCH",C200)),ISNUMBER(SEARCH("FOOD",C200)),ISNUMBER(SEARCH("SUBWAY",C200))),"Daily Office Lunch (Mon–Sat)",IF(OR(ISNUMBER(SEARCH("BLINKIT",C200)),ISNUMBER(SEARCH("ZEPTO",C200)),ISNUMBER(SEARCH("RECHARGE",C200)),ISNUMBER(SEARCH("JIO",C200)),ISNUMBER(SEARCH("AIRTEL",C200)),ISNUMBER(SEARCH("PHARMACY",C200)),ISNUMBER(SEARCH("APOLLO",C200)),ISNUMBER(SEARCH("ESSENTIALS",C200)),ISNUMBER(SEARCH("LIFESTYLE",C200))),"Lifestyle &amp; Personal Essentials",IF(OR(ISNUMBER(SEARCH("EMERGENCY",C200)),ISNUMBER(SEARCH("SWEEP",C200)),ISNUMBER(SEARCH("RESERVE",C200))),"Emergency Fund Allocation","Unallocated Flex Buffer")))))))))</f>
        <v/>
      </c>
      <c r="J200" s="39" t="inlineStr"/>
      <c r="K200" s="23">
        <f>IF(C200="","",IF(J200&lt;&gt;"",J200,I200))</f>
        <v/>
      </c>
      <c r="L200" s="40">
        <f>IF(A200="","",IF(ISNUMBER(A200),TEXT(A200,"mmm-yyyy"),"Oct-2026"))</f>
        <v/>
      </c>
      <c r="M200" s="40">
        <f>IF(D200&gt;=5000,"🚨 High Value Debit (₹"&amp;TEXT(D200,"#,##0")&amp;")",IF(D200&gt;=1000,"⚡ Notable Expense","—"))</f>
        <v/>
      </c>
    </row>
    <row r="201">
      <c r="A201" s="39" t="inlineStr"/>
      <c r="B201" s="39" t="inlineStr"/>
      <c r="C201" s="39" t="inlineStr"/>
      <c r="D201" s="41" t="inlineStr"/>
      <c r="E201" s="41" t="inlineStr"/>
      <c r="F201" s="41" t="inlineStr"/>
      <c r="G201" s="39" t="inlineStr"/>
      <c r="H201" s="26">
        <f>IF(C201="","",IF(E201&gt;0,"INCOME",IF(D201&gt;0,"EXPENSE","NEUTRAL")))</f>
        <v/>
      </c>
      <c r="I201" s="39">
        <f>IF(C201="","",=IF(OR(ISNUMBER(SEARCH("STIPEND",C201)),ISNUMBER(SEARCH("SIGMASOFT",C201)),ISNUMBER(SEARCH("SALARY",C201))),"Internship Stipend",IF(OR(ISNUMBER(SEARCH("FAMILY",C201)),ISNUMBER(SEARCH("PAPA",C201)),ISNUMBER(SEARCH("MOM",C201)),ISNUMBER(SEARCH("FATHER",C201))),"Family Support",IF(OR(ISNUMBER(SEARCH("PG",C201)),ISNUMBER(SEARCH("RENT",C201)),ISNUMBER(SEARCH("STANZA",C201)),ISNUMBER(SEARCH("ZOLO",C201))),"PG Rent &amp; Covered Meals",IF(OR(ISNUMBER(SEARCH("GROWW",C201)),ISNUMBER(SEARCH("ZERODHA",C201)),ISNUMBER(SEARCH("MUTUAL",C201)),ISNUMBER(SEARCH("SIP",C201)),ISNUMBER(SEARCH("NIPPON",C201))),"Monthly SIP Investment",IF(OR(ISNUMBER(SEARCH("BMTC",C201)),ISNUMBER(SEARCH("BUS",C201)),ISNUMBER(SEARCH("METRO",C201)),ISNUMBER(SEARCH("CHALO",C201))),"BMTC Bus Commute",IF(OR(ISNUMBER(SEARCH("SWIGGY",C201)),ISNUMBER(SEARCH("ZOMATO",C201)),ISNUMBER(SEARCH("CANTEEN",C201)),ISNUMBER(SEARCH("LUNCH",C201)),ISNUMBER(SEARCH("FOOD",C201)),ISNUMBER(SEARCH("SUBWAY",C201))),"Daily Office Lunch (Mon–Sat)",IF(OR(ISNUMBER(SEARCH("BLINKIT",C201)),ISNUMBER(SEARCH("ZEPTO",C201)),ISNUMBER(SEARCH("RECHARGE",C201)),ISNUMBER(SEARCH("JIO",C201)),ISNUMBER(SEARCH("AIRTEL",C201)),ISNUMBER(SEARCH("PHARMACY",C201)),ISNUMBER(SEARCH("APOLLO",C201)),ISNUMBER(SEARCH("ESSENTIALS",C201)),ISNUMBER(SEARCH("LIFESTYLE",C201))),"Lifestyle &amp; Personal Essentials",IF(OR(ISNUMBER(SEARCH("EMERGENCY",C201)),ISNUMBER(SEARCH("SWEEP",C201)),ISNUMBER(SEARCH("RESERVE",C201))),"Emergency Fund Allocation","Unallocated Flex Buffer")))))))))</f>
        <v/>
      </c>
      <c r="J201" s="39" t="inlineStr"/>
      <c r="K201" s="23">
        <f>IF(C201="","",IF(J201&lt;&gt;"",J201,I201))</f>
        <v/>
      </c>
      <c r="L201" s="40">
        <f>IF(A201="","",IF(ISNUMBER(A201),TEXT(A201,"mmm-yyyy"),"Oct-2026"))</f>
        <v/>
      </c>
      <c r="M201" s="40">
        <f>IF(D201&gt;=5000,"🚨 High Value Debit (₹"&amp;TEXT(D201,"#,##0")&amp;")",IF(D201&gt;=1000,"⚡ Notable Expense","—"))</f>
        <v/>
      </c>
    </row>
    <row r="202">
      <c r="A202" s="39" t="inlineStr"/>
      <c r="B202" s="39" t="inlineStr"/>
      <c r="C202" s="39" t="inlineStr"/>
      <c r="D202" s="41" t="inlineStr"/>
      <c r="E202" s="41" t="inlineStr"/>
      <c r="F202" s="41" t="inlineStr"/>
      <c r="G202" s="39" t="inlineStr"/>
      <c r="H202" s="26">
        <f>IF(C202="","",IF(E202&gt;0,"INCOME",IF(D202&gt;0,"EXPENSE","NEUTRAL")))</f>
        <v/>
      </c>
      <c r="I202" s="39">
        <f>IF(C202="","",=IF(OR(ISNUMBER(SEARCH("STIPEND",C202)),ISNUMBER(SEARCH("SIGMASOFT",C202)),ISNUMBER(SEARCH("SALARY",C202))),"Internship Stipend",IF(OR(ISNUMBER(SEARCH("FAMILY",C202)),ISNUMBER(SEARCH("PAPA",C202)),ISNUMBER(SEARCH("MOM",C202)),ISNUMBER(SEARCH("FATHER",C202))),"Family Support",IF(OR(ISNUMBER(SEARCH("PG",C202)),ISNUMBER(SEARCH("RENT",C202)),ISNUMBER(SEARCH("STANZA",C202)),ISNUMBER(SEARCH("ZOLO",C202))),"PG Rent &amp; Covered Meals",IF(OR(ISNUMBER(SEARCH("GROWW",C202)),ISNUMBER(SEARCH("ZERODHA",C202)),ISNUMBER(SEARCH("MUTUAL",C202)),ISNUMBER(SEARCH("SIP",C202)),ISNUMBER(SEARCH("NIPPON",C202))),"Monthly SIP Investment",IF(OR(ISNUMBER(SEARCH("BMTC",C202)),ISNUMBER(SEARCH("BUS",C202)),ISNUMBER(SEARCH("METRO",C202)),ISNUMBER(SEARCH("CHALO",C202))),"BMTC Bus Commute",IF(OR(ISNUMBER(SEARCH("SWIGGY",C202)),ISNUMBER(SEARCH("ZOMATO",C202)),ISNUMBER(SEARCH("CANTEEN",C202)),ISNUMBER(SEARCH("LUNCH",C202)),ISNUMBER(SEARCH("FOOD",C202)),ISNUMBER(SEARCH("SUBWAY",C202))),"Daily Office Lunch (Mon–Sat)",IF(OR(ISNUMBER(SEARCH("BLINKIT",C202)),ISNUMBER(SEARCH("ZEPTO",C202)),ISNUMBER(SEARCH("RECHARGE",C202)),ISNUMBER(SEARCH("JIO",C202)),ISNUMBER(SEARCH("AIRTEL",C202)),ISNUMBER(SEARCH("PHARMACY",C202)),ISNUMBER(SEARCH("APOLLO",C202)),ISNUMBER(SEARCH("ESSENTIALS",C202)),ISNUMBER(SEARCH("LIFESTYLE",C202))),"Lifestyle &amp; Personal Essentials",IF(OR(ISNUMBER(SEARCH("EMERGENCY",C202)),ISNUMBER(SEARCH("SWEEP",C202)),ISNUMBER(SEARCH("RESERVE",C202))),"Emergency Fund Allocation","Unallocated Flex Buffer")))))))))</f>
        <v/>
      </c>
      <c r="J202" s="39" t="inlineStr"/>
      <c r="K202" s="23">
        <f>IF(C202="","",IF(J202&lt;&gt;"",J202,I202))</f>
        <v/>
      </c>
      <c r="L202" s="40">
        <f>IF(A202="","",IF(ISNUMBER(A202),TEXT(A202,"mmm-yyyy"),"Oct-2026"))</f>
        <v/>
      </c>
      <c r="M202" s="40">
        <f>IF(D202&gt;=5000,"🚨 High Value Debit (₹"&amp;TEXT(D202,"#,##0")&amp;")",IF(D202&gt;=1000,"⚡ Notable Expense","—"))</f>
        <v/>
      </c>
    </row>
    <row r="203">
      <c r="A203" s="39" t="inlineStr"/>
      <c r="B203" s="39" t="inlineStr"/>
      <c r="C203" s="39" t="inlineStr"/>
      <c r="D203" s="41" t="inlineStr"/>
      <c r="E203" s="41" t="inlineStr"/>
      <c r="F203" s="41" t="inlineStr"/>
      <c r="G203" s="39" t="inlineStr"/>
      <c r="H203" s="26">
        <f>IF(C203="","",IF(E203&gt;0,"INCOME",IF(D203&gt;0,"EXPENSE","NEUTRAL")))</f>
        <v/>
      </c>
      <c r="I203" s="39">
        <f>IF(C203="","",=IF(OR(ISNUMBER(SEARCH("STIPEND",C203)),ISNUMBER(SEARCH("SIGMASOFT",C203)),ISNUMBER(SEARCH("SALARY",C203))),"Internship Stipend",IF(OR(ISNUMBER(SEARCH("FAMILY",C203)),ISNUMBER(SEARCH("PAPA",C203)),ISNUMBER(SEARCH("MOM",C203)),ISNUMBER(SEARCH("FATHER",C203))),"Family Support",IF(OR(ISNUMBER(SEARCH("PG",C203)),ISNUMBER(SEARCH("RENT",C203)),ISNUMBER(SEARCH("STANZA",C203)),ISNUMBER(SEARCH("ZOLO",C203))),"PG Rent &amp; Covered Meals",IF(OR(ISNUMBER(SEARCH("GROWW",C203)),ISNUMBER(SEARCH("ZERODHA",C203)),ISNUMBER(SEARCH("MUTUAL",C203)),ISNUMBER(SEARCH("SIP",C203)),ISNUMBER(SEARCH("NIPPON",C203))),"Monthly SIP Investment",IF(OR(ISNUMBER(SEARCH("BMTC",C203)),ISNUMBER(SEARCH("BUS",C203)),ISNUMBER(SEARCH("METRO",C203)),ISNUMBER(SEARCH("CHALO",C203))),"BMTC Bus Commute",IF(OR(ISNUMBER(SEARCH("SWIGGY",C203)),ISNUMBER(SEARCH("ZOMATO",C203)),ISNUMBER(SEARCH("CANTEEN",C203)),ISNUMBER(SEARCH("LUNCH",C203)),ISNUMBER(SEARCH("FOOD",C203)),ISNUMBER(SEARCH("SUBWAY",C203))),"Daily Office Lunch (Mon–Sat)",IF(OR(ISNUMBER(SEARCH("BLINKIT",C203)),ISNUMBER(SEARCH("ZEPTO",C203)),ISNUMBER(SEARCH("RECHARGE",C203)),ISNUMBER(SEARCH("JIO",C203)),ISNUMBER(SEARCH("AIRTEL",C203)),ISNUMBER(SEARCH("PHARMACY",C203)),ISNUMBER(SEARCH("APOLLO",C203)),ISNUMBER(SEARCH("ESSENTIALS",C203)),ISNUMBER(SEARCH("LIFESTYLE",C203))),"Lifestyle &amp; Personal Essentials",IF(OR(ISNUMBER(SEARCH("EMERGENCY",C203)),ISNUMBER(SEARCH("SWEEP",C203)),ISNUMBER(SEARCH("RESERVE",C203))),"Emergency Fund Allocation","Unallocated Flex Buffer")))))))))</f>
        <v/>
      </c>
      <c r="J203" s="39" t="inlineStr"/>
      <c r="K203" s="23">
        <f>IF(C203="","",IF(J203&lt;&gt;"",J203,I203))</f>
        <v/>
      </c>
      <c r="L203" s="40">
        <f>IF(A203="","",IF(ISNUMBER(A203),TEXT(A203,"mmm-yyyy"),"Oct-2026"))</f>
        <v/>
      </c>
      <c r="M203" s="40">
        <f>IF(D203&gt;=5000,"🚨 High Value Debit (₹"&amp;TEXT(D203,"#,##0")&amp;")",IF(D203&gt;=1000,"⚡ Notable Expense","—"))</f>
        <v/>
      </c>
    </row>
    <row r="204">
      <c r="A204" s="39" t="inlineStr"/>
      <c r="B204" s="39" t="inlineStr"/>
      <c r="C204" s="39" t="inlineStr"/>
      <c r="D204" s="41" t="inlineStr"/>
      <c r="E204" s="41" t="inlineStr"/>
      <c r="F204" s="41" t="inlineStr"/>
      <c r="G204" s="39" t="inlineStr"/>
      <c r="H204" s="26">
        <f>IF(C204="","",IF(E204&gt;0,"INCOME",IF(D204&gt;0,"EXPENSE","NEUTRAL")))</f>
        <v/>
      </c>
      <c r="I204" s="39">
        <f>IF(C204="","",=IF(OR(ISNUMBER(SEARCH("STIPEND",C204)),ISNUMBER(SEARCH("SIGMASOFT",C204)),ISNUMBER(SEARCH("SALARY",C204))),"Internship Stipend",IF(OR(ISNUMBER(SEARCH("FAMILY",C204)),ISNUMBER(SEARCH("PAPA",C204)),ISNUMBER(SEARCH("MOM",C204)),ISNUMBER(SEARCH("FATHER",C204))),"Family Support",IF(OR(ISNUMBER(SEARCH("PG",C204)),ISNUMBER(SEARCH("RENT",C204)),ISNUMBER(SEARCH("STANZA",C204)),ISNUMBER(SEARCH("ZOLO",C204))),"PG Rent &amp; Covered Meals",IF(OR(ISNUMBER(SEARCH("GROWW",C204)),ISNUMBER(SEARCH("ZERODHA",C204)),ISNUMBER(SEARCH("MUTUAL",C204)),ISNUMBER(SEARCH("SIP",C204)),ISNUMBER(SEARCH("NIPPON",C204))),"Monthly SIP Investment",IF(OR(ISNUMBER(SEARCH("BMTC",C204)),ISNUMBER(SEARCH("BUS",C204)),ISNUMBER(SEARCH("METRO",C204)),ISNUMBER(SEARCH("CHALO",C204))),"BMTC Bus Commute",IF(OR(ISNUMBER(SEARCH("SWIGGY",C204)),ISNUMBER(SEARCH("ZOMATO",C204)),ISNUMBER(SEARCH("CANTEEN",C204)),ISNUMBER(SEARCH("LUNCH",C204)),ISNUMBER(SEARCH("FOOD",C204)),ISNUMBER(SEARCH("SUBWAY",C204))),"Daily Office Lunch (Mon–Sat)",IF(OR(ISNUMBER(SEARCH("BLINKIT",C204)),ISNUMBER(SEARCH("ZEPTO",C204)),ISNUMBER(SEARCH("RECHARGE",C204)),ISNUMBER(SEARCH("JIO",C204)),ISNUMBER(SEARCH("AIRTEL",C204)),ISNUMBER(SEARCH("PHARMACY",C204)),ISNUMBER(SEARCH("APOLLO",C204)),ISNUMBER(SEARCH("ESSENTIALS",C204)),ISNUMBER(SEARCH("LIFESTYLE",C204))),"Lifestyle &amp; Personal Essentials",IF(OR(ISNUMBER(SEARCH("EMERGENCY",C204)),ISNUMBER(SEARCH("SWEEP",C204)),ISNUMBER(SEARCH("RESERVE",C204))),"Emergency Fund Allocation","Unallocated Flex Buffer")))))))))</f>
        <v/>
      </c>
      <c r="J204" s="39" t="inlineStr"/>
      <c r="K204" s="23">
        <f>IF(C204="","",IF(J204&lt;&gt;"",J204,I204))</f>
        <v/>
      </c>
      <c r="L204" s="40">
        <f>IF(A204="","",IF(ISNUMBER(A204),TEXT(A204,"mmm-yyyy"),"Oct-2026"))</f>
        <v/>
      </c>
      <c r="M204" s="40">
        <f>IF(D204&gt;=5000,"🚨 High Value Debit (₹"&amp;TEXT(D204,"#,##0")&amp;")",IF(D204&gt;=1000,"⚡ Notable Expense","—"))</f>
        <v/>
      </c>
    </row>
    <row r="205">
      <c r="A205" s="39" t="inlineStr"/>
      <c r="B205" s="39" t="inlineStr"/>
      <c r="C205" s="39" t="inlineStr"/>
      <c r="D205" s="41" t="inlineStr"/>
      <c r="E205" s="41" t="inlineStr"/>
      <c r="F205" s="41" t="inlineStr"/>
      <c r="G205" s="39" t="inlineStr"/>
      <c r="H205" s="26">
        <f>IF(C205="","",IF(E205&gt;0,"INCOME",IF(D205&gt;0,"EXPENSE","NEUTRAL")))</f>
        <v/>
      </c>
      <c r="I205" s="39">
        <f>IF(C205="","",=IF(OR(ISNUMBER(SEARCH("STIPEND",C205)),ISNUMBER(SEARCH("SIGMASOFT",C205)),ISNUMBER(SEARCH("SALARY",C205))),"Internship Stipend",IF(OR(ISNUMBER(SEARCH("FAMILY",C205)),ISNUMBER(SEARCH("PAPA",C205)),ISNUMBER(SEARCH("MOM",C205)),ISNUMBER(SEARCH("FATHER",C205))),"Family Support",IF(OR(ISNUMBER(SEARCH("PG",C205)),ISNUMBER(SEARCH("RENT",C205)),ISNUMBER(SEARCH("STANZA",C205)),ISNUMBER(SEARCH("ZOLO",C205))),"PG Rent &amp; Covered Meals",IF(OR(ISNUMBER(SEARCH("GROWW",C205)),ISNUMBER(SEARCH("ZERODHA",C205)),ISNUMBER(SEARCH("MUTUAL",C205)),ISNUMBER(SEARCH("SIP",C205)),ISNUMBER(SEARCH("NIPPON",C205))),"Monthly SIP Investment",IF(OR(ISNUMBER(SEARCH("BMTC",C205)),ISNUMBER(SEARCH("BUS",C205)),ISNUMBER(SEARCH("METRO",C205)),ISNUMBER(SEARCH("CHALO",C205))),"BMTC Bus Commute",IF(OR(ISNUMBER(SEARCH("SWIGGY",C205)),ISNUMBER(SEARCH("ZOMATO",C205)),ISNUMBER(SEARCH("CANTEEN",C205)),ISNUMBER(SEARCH("LUNCH",C205)),ISNUMBER(SEARCH("FOOD",C205)),ISNUMBER(SEARCH("SUBWAY",C205))),"Daily Office Lunch (Mon–Sat)",IF(OR(ISNUMBER(SEARCH("BLINKIT",C205)),ISNUMBER(SEARCH("ZEPTO",C205)),ISNUMBER(SEARCH("RECHARGE",C205)),ISNUMBER(SEARCH("JIO",C205)),ISNUMBER(SEARCH("AIRTEL",C205)),ISNUMBER(SEARCH("PHARMACY",C205)),ISNUMBER(SEARCH("APOLLO",C205)),ISNUMBER(SEARCH("ESSENTIALS",C205)),ISNUMBER(SEARCH("LIFESTYLE",C205))),"Lifestyle &amp; Personal Essentials",IF(OR(ISNUMBER(SEARCH("EMERGENCY",C205)),ISNUMBER(SEARCH("SWEEP",C205)),ISNUMBER(SEARCH("RESERVE",C205))),"Emergency Fund Allocation","Unallocated Flex Buffer")))))))))</f>
        <v/>
      </c>
      <c r="J205" s="39" t="inlineStr"/>
      <c r="K205" s="23">
        <f>IF(C205="","",IF(J205&lt;&gt;"",J205,I205))</f>
        <v/>
      </c>
      <c r="L205" s="40">
        <f>IF(A205="","",IF(ISNUMBER(A205),TEXT(A205,"mmm-yyyy"),"Oct-2026"))</f>
        <v/>
      </c>
      <c r="M205" s="40">
        <f>IF(D205&gt;=5000,"🚨 High Value Debit (₹"&amp;TEXT(D205,"#,##0")&amp;")",IF(D205&gt;=1000,"⚡ Notable Expense","—"))</f>
        <v/>
      </c>
    </row>
    <row r="206">
      <c r="A206" s="39" t="inlineStr"/>
      <c r="B206" s="39" t="inlineStr"/>
      <c r="C206" s="39" t="inlineStr"/>
      <c r="D206" s="41" t="inlineStr"/>
      <c r="E206" s="41" t="inlineStr"/>
      <c r="F206" s="41" t="inlineStr"/>
      <c r="G206" s="39" t="inlineStr"/>
      <c r="H206" s="26">
        <f>IF(C206="","",IF(E206&gt;0,"INCOME",IF(D206&gt;0,"EXPENSE","NEUTRAL")))</f>
        <v/>
      </c>
      <c r="I206" s="39">
        <f>IF(C206="","",=IF(OR(ISNUMBER(SEARCH("STIPEND",C206)),ISNUMBER(SEARCH("SIGMASOFT",C206)),ISNUMBER(SEARCH("SALARY",C206))),"Internship Stipend",IF(OR(ISNUMBER(SEARCH("FAMILY",C206)),ISNUMBER(SEARCH("PAPA",C206)),ISNUMBER(SEARCH("MOM",C206)),ISNUMBER(SEARCH("FATHER",C206))),"Family Support",IF(OR(ISNUMBER(SEARCH("PG",C206)),ISNUMBER(SEARCH("RENT",C206)),ISNUMBER(SEARCH("STANZA",C206)),ISNUMBER(SEARCH("ZOLO",C206))),"PG Rent &amp; Covered Meals",IF(OR(ISNUMBER(SEARCH("GROWW",C206)),ISNUMBER(SEARCH("ZERODHA",C206)),ISNUMBER(SEARCH("MUTUAL",C206)),ISNUMBER(SEARCH("SIP",C206)),ISNUMBER(SEARCH("NIPPON",C206))),"Monthly SIP Investment",IF(OR(ISNUMBER(SEARCH("BMTC",C206)),ISNUMBER(SEARCH("BUS",C206)),ISNUMBER(SEARCH("METRO",C206)),ISNUMBER(SEARCH("CHALO",C206))),"BMTC Bus Commute",IF(OR(ISNUMBER(SEARCH("SWIGGY",C206)),ISNUMBER(SEARCH("ZOMATO",C206)),ISNUMBER(SEARCH("CANTEEN",C206)),ISNUMBER(SEARCH("LUNCH",C206)),ISNUMBER(SEARCH("FOOD",C206)),ISNUMBER(SEARCH("SUBWAY",C206))),"Daily Office Lunch (Mon–Sat)",IF(OR(ISNUMBER(SEARCH("BLINKIT",C206)),ISNUMBER(SEARCH("ZEPTO",C206)),ISNUMBER(SEARCH("RECHARGE",C206)),ISNUMBER(SEARCH("JIO",C206)),ISNUMBER(SEARCH("AIRTEL",C206)),ISNUMBER(SEARCH("PHARMACY",C206)),ISNUMBER(SEARCH("APOLLO",C206)),ISNUMBER(SEARCH("ESSENTIALS",C206)),ISNUMBER(SEARCH("LIFESTYLE",C206))),"Lifestyle &amp; Personal Essentials",IF(OR(ISNUMBER(SEARCH("EMERGENCY",C206)),ISNUMBER(SEARCH("SWEEP",C206)),ISNUMBER(SEARCH("RESERVE",C206))),"Emergency Fund Allocation","Unallocated Flex Buffer")))))))))</f>
        <v/>
      </c>
      <c r="J206" s="39" t="inlineStr"/>
      <c r="K206" s="23">
        <f>IF(C206="","",IF(J206&lt;&gt;"",J206,I206))</f>
        <v/>
      </c>
      <c r="L206" s="40">
        <f>IF(A206="","",IF(ISNUMBER(A206),TEXT(A206,"mmm-yyyy"),"Oct-2026"))</f>
        <v/>
      </c>
      <c r="M206" s="40">
        <f>IF(D206&gt;=5000,"🚨 High Value Debit (₹"&amp;TEXT(D206,"#,##0")&amp;")",IF(D206&gt;=1000,"⚡ Notable Expense","—"))</f>
        <v/>
      </c>
    </row>
    <row r="207">
      <c r="A207" s="39" t="inlineStr"/>
      <c r="B207" s="39" t="inlineStr"/>
      <c r="C207" s="39" t="inlineStr"/>
      <c r="D207" s="41" t="inlineStr"/>
      <c r="E207" s="41" t="inlineStr"/>
      <c r="F207" s="41" t="inlineStr"/>
      <c r="G207" s="39" t="inlineStr"/>
      <c r="H207" s="26">
        <f>IF(C207="","",IF(E207&gt;0,"INCOME",IF(D207&gt;0,"EXPENSE","NEUTRAL")))</f>
        <v/>
      </c>
      <c r="I207" s="39">
        <f>IF(C207="","",=IF(OR(ISNUMBER(SEARCH("STIPEND",C207)),ISNUMBER(SEARCH("SIGMASOFT",C207)),ISNUMBER(SEARCH("SALARY",C207))),"Internship Stipend",IF(OR(ISNUMBER(SEARCH("FAMILY",C207)),ISNUMBER(SEARCH("PAPA",C207)),ISNUMBER(SEARCH("MOM",C207)),ISNUMBER(SEARCH("FATHER",C207))),"Family Support",IF(OR(ISNUMBER(SEARCH("PG",C207)),ISNUMBER(SEARCH("RENT",C207)),ISNUMBER(SEARCH("STANZA",C207)),ISNUMBER(SEARCH("ZOLO",C207))),"PG Rent &amp; Covered Meals",IF(OR(ISNUMBER(SEARCH("GROWW",C207)),ISNUMBER(SEARCH("ZERODHA",C207)),ISNUMBER(SEARCH("MUTUAL",C207)),ISNUMBER(SEARCH("SIP",C207)),ISNUMBER(SEARCH("NIPPON",C207))),"Monthly SIP Investment",IF(OR(ISNUMBER(SEARCH("BMTC",C207)),ISNUMBER(SEARCH("BUS",C207)),ISNUMBER(SEARCH("METRO",C207)),ISNUMBER(SEARCH("CHALO",C207))),"BMTC Bus Commute",IF(OR(ISNUMBER(SEARCH("SWIGGY",C207)),ISNUMBER(SEARCH("ZOMATO",C207)),ISNUMBER(SEARCH("CANTEEN",C207)),ISNUMBER(SEARCH("LUNCH",C207)),ISNUMBER(SEARCH("FOOD",C207)),ISNUMBER(SEARCH("SUBWAY",C207))),"Daily Office Lunch (Mon–Sat)",IF(OR(ISNUMBER(SEARCH("BLINKIT",C207)),ISNUMBER(SEARCH("ZEPTO",C207)),ISNUMBER(SEARCH("RECHARGE",C207)),ISNUMBER(SEARCH("JIO",C207)),ISNUMBER(SEARCH("AIRTEL",C207)),ISNUMBER(SEARCH("PHARMACY",C207)),ISNUMBER(SEARCH("APOLLO",C207)),ISNUMBER(SEARCH("ESSENTIALS",C207)),ISNUMBER(SEARCH("LIFESTYLE",C207))),"Lifestyle &amp; Personal Essentials",IF(OR(ISNUMBER(SEARCH("EMERGENCY",C207)),ISNUMBER(SEARCH("SWEEP",C207)),ISNUMBER(SEARCH("RESERVE",C207))),"Emergency Fund Allocation","Unallocated Flex Buffer")))))))))</f>
        <v/>
      </c>
      <c r="J207" s="39" t="inlineStr"/>
      <c r="K207" s="23">
        <f>IF(C207="","",IF(J207&lt;&gt;"",J207,I207))</f>
        <v/>
      </c>
      <c r="L207" s="40">
        <f>IF(A207="","",IF(ISNUMBER(A207),TEXT(A207,"mmm-yyyy"),"Oct-2026"))</f>
        <v/>
      </c>
      <c r="M207" s="40">
        <f>IF(D207&gt;=5000,"🚨 High Value Debit (₹"&amp;TEXT(D207,"#,##0")&amp;")",IF(D207&gt;=1000,"⚡ Notable Expense","—"))</f>
        <v/>
      </c>
    </row>
    <row r="208">
      <c r="A208" s="39" t="inlineStr"/>
      <c r="B208" s="39" t="inlineStr"/>
      <c r="C208" s="39" t="inlineStr"/>
      <c r="D208" s="41" t="inlineStr"/>
      <c r="E208" s="41" t="inlineStr"/>
      <c r="F208" s="41" t="inlineStr"/>
      <c r="G208" s="39" t="inlineStr"/>
      <c r="H208" s="26">
        <f>IF(C208="","",IF(E208&gt;0,"INCOME",IF(D208&gt;0,"EXPENSE","NEUTRAL")))</f>
        <v/>
      </c>
      <c r="I208" s="39">
        <f>IF(C208="","",=IF(OR(ISNUMBER(SEARCH("STIPEND",C208)),ISNUMBER(SEARCH("SIGMASOFT",C208)),ISNUMBER(SEARCH("SALARY",C208))),"Internship Stipend",IF(OR(ISNUMBER(SEARCH("FAMILY",C208)),ISNUMBER(SEARCH("PAPA",C208)),ISNUMBER(SEARCH("MOM",C208)),ISNUMBER(SEARCH("FATHER",C208))),"Family Support",IF(OR(ISNUMBER(SEARCH("PG",C208)),ISNUMBER(SEARCH("RENT",C208)),ISNUMBER(SEARCH("STANZA",C208)),ISNUMBER(SEARCH("ZOLO",C208))),"PG Rent &amp; Covered Meals",IF(OR(ISNUMBER(SEARCH("GROWW",C208)),ISNUMBER(SEARCH("ZERODHA",C208)),ISNUMBER(SEARCH("MUTUAL",C208)),ISNUMBER(SEARCH("SIP",C208)),ISNUMBER(SEARCH("NIPPON",C208))),"Monthly SIP Investment",IF(OR(ISNUMBER(SEARCH("BMTC",C208)),ISNUMBER(SEARCH("BUS",C208)),ISNUMBER(SEARCH("METRO",C208)),ISNUMBER(SEARCH("CHALO",C208))),"BMTC Bus Commute",IF(OR(ISNUMBER(SEARCH("SWIGGY",C208)),ISNUMBER(SEARCH("ZOMATO",C208)),ISNUMBER(SEARCH("CANTEEN",C208)),ISNUMBER(SEARCH("LUNCH",C208)),ISNUMBER(SEARCH("FOOD",C208)),ISNUMBER(SEARCH("SUBWAY",C208))),"Daily Office Lunch (Mon–Sat)",IF(OR(ISNUMBER(SEARCH("BLINKIT",C208)),ISNUMBER(SEARCH("ZEPTO",C208)),ISNUMBER(SEARCH("RECHARGE",C208)),ISNUMBER(SEARCH("JIO",C208)),ISNUMBER(SEARCH("AIRTEL",C208)),ISNUMBER(SEARCH("PHARMACY",C208)),ISNUMBER(SEARCH("APOLLO",C208)),ISNUMBER(SEARCH("ESSENTIALS",C208)),ISNUMBER(SEARCH("LIFESTYLE",C208))),"Lifestyle &amp; Personal Essentials",IF(OR(ISNUMBER(SEARCH("EMERGENCY",C208)),ISNUMBER(SEARCH("SWEEP",C208)),ISNUMBER(SEARCH("RESERVE",C208))),"Emergency Fund Allocation","Unallocated Flex Buffer")))))))))</f>
        <v/>
      </c>
      <c r="J208" s="39" t="inlineStr"/>
      <c r="K208" s="23">
        <f>IF(C208="","",IF(J208&lt;&gt;"",J208,I208))</f>
        <v/>
      </c>
      <c r="L208" s="40">
        <f>IF(A208="","",IF(ISNUMBER(A208),TEXT(A208,"mmm-yyyy"),"Oct-2026"))</f>
        <v/>
      </c>
      <c r="M208" s="40">
        <f>IF(D208&gt;=5000,"🚨 High Value Debit (₹"&amp;TEXT(D208,"#,##0")&amp;")",IF(D208&gt;=1000,"⚡ Notable Expense","—"))</f>
        <v/>
      </c>
    </row>
    <row r="209">
      <c r="A209" s="39" t="inlineStr"/>
      <c r="B209" s="39" t="inlineStr"/>
      <c r="C209" s="39" t="inlineStr"/>
      <c r="D209" s="41" t="inlineStr"/>
      <c r="E209" s="41" t="inlineStr"/>
      <c r="F209" s="41" t="inlineStr"/>
      <c r="G209" s="39" t="inlineStr"/>
      <c r="H209" s="26">
        <f>IF(C209="","",IF(E209&gt;0,"INCOME",IF(D209&gt;0,"EXPENSE","NEUTRAL")))</f>
        <v/>
      </c>
      <c r="I209" s="39">
        <f>IF(C209="","",=IF(OR(ISNUMBER(SEARCH("STIPEND",C209)),ISNUMBER(SEARCH("SIGMASOFT",C209)),ISNUMBER(SEARCH("SALARY",C209))),"Internship Stipend",IF(OR(ISNUMBER(SEARCH("FAMILY",C209)),ISNUMBER(SEARCH("PAPA",C209)),ISNUMBER(SEARCH("MOM",C209)),ISNUMBER(SEARCH("FATHER",C209))),"Family Support",IF(OR(ISNUMBER(SEARCH("PG",C209)),ISNUMBER(SEARCH("RENT",C209)),ISNUMBER(SEARCH("STANZA",C209)),ISNUMBER(SEARCH("ZOLO",C209))),"PG Rent &amp; Covered Meals",IF(OR(ISNUMBER(SEARCH("GROWW",C209)),ISNUMBER(SEARCH("ZERODHA",C209)),ISNUMBER(SEARCH("MUTUAL",C209)),ISNUMBER(SEARCH("SIP",C209)),ISNUMBER(SEARCH("NIPPON",C209))),"Monthly SIP Investment",IF(OR(ISNUMBER(SEARCH("BMTC",C209)),ISNUMBER(SEARCH("BUS",C209)),ISNUMBER(SEARCH("METRO",C209)),ISNUMBER(SEARCH("CHALO",C209))),"BMTC Bus Commute",IF(OR(ISNUMBER(SEARCH("SWIGGY",C209)),ISNUMBER(SEARCH("ZOMATO",C209)),ISNUMBER(SEARCH("CANTEEN",C209)),ISNUMBER(SEARCH("LUNCH",C209)),ISNUMBER(SEARCH("FOOD",C209)),ISNUMBER(SEARCH("SUBWAY",C209))),"Daily Office Lunch (Mon–Sat)",IF(OR(ISNUMBER(SEARCH("BLINKIT",C209)),ISNUMBER(SEARCH("ZEPTO",C209)),ISNUMBER(SEARCH("RECHARGE",C209)),ISNUMBER(SEARCH("JIO",C209)),ISNUMBER(SEARCH("AIRTEL",C209)),ISNUMBER(SEARCH("PHARMACY",C209)),ISNUMBER(SEARCH("APOLLO",C209)),ISNUMBER(SEARCH("ESSENTIALS",C209)),ISNUMBER(SEARCH("LIFESTYLE",C209))),"Lifestyle &amp; Personal Essentials",IF(OR(ISNUMBER(SEARCH("EMERGENCY",C209)),ISNUMBER(SEARCH("SWEEP",C209)),ISNUMBER(SEARCH("RESERVE",C209))),"Emergency Fund Allocation","Unallocated Flex Buffer")))))))))</f>
        <v/>
      </c>
      <c r="J209" s="39" t="inlineStr"/>
      <c r="K209" s="23">
        <f>IF(C209="","",IF(J209&lt;&gt;"",J209,I209))</f>
        <v/>
      </c>
      <c r="L209" s="40">
        <f>IF(A209="","",IF(ISNUMBER(A209),TEXT(A209,"mmm-yyyy"),"Oct-2026"))</f>
        <v/>
      </c>
      <c r="M209" s="40">
        <f>IF(D209&gt;=5000,"🚨 High Value Debit (₹"&amp;TEXT(D209,"#,##0")&amp;")",IF(D209&gt;=1000,"⚡ Notable Expense","—"))</f>
        <v/>
      </c>
    </row>
    <row r="210">
      <c r="A210" s="39" t="inlineStr"/>
      <c r="B210" s="39" t="inlineStr"/>
      <c r="C210" s="39" t="inlineStr"/>
      <c r="D210" s="41" t="inlineStr"/>
      <c r="E210" s="41" t="inlineStr"/>
      <c r="F210" s="41" t="inlineStr"/>
      <c r="G210" s="39" t="inlineStr"/>
      <c r="H210" s="26">
        <f>IF(C210="","",IF(E210&gt;0,"INCOME",IF(D210&gt;0,"EXPENSE","NEUTRAL")))</f>
        <v/>
      </c>
      <c r="I210" s="39">
        <f>IF(C210="","",=IF(OR(ISNUMBER(SEARCH("STIPEND",C210)),ISNUMBER(SEARCH("SIGMASOFT",C210)),ISNUMBER(SEARCH("SALARY",C210))),"Internship Stipend",IF(OR(ISNUMBER(SEARCH("FAMILY",C210)),ISNUMBER(SEARCH("PAPA",C210)),ISNUMBER(SEARCH("MOM",C210)),ISNUMBER(SEARCH("FATHER",C210))),"Family Support",IF(OR(ISNUMBER(SEARCH("PG",C210)),ISNUMBER(SEARCH("RENT",C210)),ISNUMBER(SEARCH("STANZA",C210)),ISNUMBER(SEARCH("ZOLO",C210))),"PG Rent &amp; Covered Meals",IF(OR(ISNUMBER(SEARCH("GROWW",C210)),ISNUMBER(SEARCH("ZERODHA",C210)),ISNUMBER(SEARCH("MUTUAL",C210)),ISNUMBER(SEARCH("SIP",C210)),ISNUMBER(SEARCH("NIPPON",C210))),"Monthly SIP Investment",IF(OR(ISNUMBER(SEARCH("BMTC",C210)),ISNUMBER(SEARCH("BUS",C210)),ISNUMBER(SEARCH("METRO",C210)),ISNUMBER(SEARCH("CHALO",C210))),"BMTC Bus Commute",IF(OR(ISNUMBER(SEARCH("SWIGGY",C210)),ISNUMBER(SEARCH("ZOMATO",C210)),ISNUMBER(SEARCH("CANTEEN",C210)),ISNUMBER(SEARCH("LUNCH",C210)),ISNUMBER(SEARCH("FOOD",C210)),ISNUMBER(SEARCH("SUBWAY",C210))),"Daily Office Lunch (Mon–Sat)",IF(OR(ISNUMBER(SEARCH("BLINKIT",C210)),ISNUMBER(SEARCH("ZEPTO",C210)),ISNUMBER(SEARCH("RECHARGE",C210)),ISNUMBER(SEARCH("JIO",C210)),ISNUMBER(SEARCH("AIRTEL",C210)),ISNUMBER(SEARCH("PHARMACY",C210)),ISNUMBER(SEARCH("APOLLO",C210)),ISNUMBER(SEARCH("ESSENTIALS",C210)),ISNUMBER(SEARCH("LIFESTYLE",C210))),"Lifestyle &amp; Personal Essentials",IF(OR(ISNUMBER(SEARCH("EMERGENCY",C210)),ISNUMBER(SEARCH("SWEEP",C210)),ISNUMBER(SEARCH("RESERVE",C210))),"Emergency Fund Allocation","Unallocated Flex Buffer")))))))))</f>
        <v/>
      </c>
      <c r="J210" s="39" t="inlineStr"/>
      <c r="K210" s="23">
        <f>IF(C210="","",IF(J210&lt;&gt;"",J210,I210))</f>
        <v/>
      </c>
      <c r="L210" s="40">
        <f>IF(A210="","",IF(ISNUMBER(A210),TEXT(A210,"mmm-yyyy"),"Oct-2026"))</f>
        <v/>
      </c>
      <c r="M210" s="40">
        <f>IF(D210&gt;=5000,"🚨 High Value Debit (₹"&amp;TEXT(D210,"#,##0")&amp;")",IF(D210&gt;=1000,"⚡ Notable Expense","—"))</f>
        <v/>
      </c>
    </row>
    <row r="211">
      <c r="A211" s="39" t="inlineStr"/>
      <c r="B211" s="39" t="inlineStr"/>
      <c r="C211" s="39" t="inlineStr"/>
      <c r="D211" s="41" t="inlineStr"/>
      <c r="E211" s="41" t="inlineStr"/>
      <c r="F211" s="41" t="inlineStr"/>
      <c r="G211" s="39" t="inlineStr"/>
      <c r="H211" s="26">
        <f>IF(C211="","",IF(E211&gt;0,"INCOME",IF(D211&gt;0,"EXPENSE","NEUTRAL")))</f>
        <v/>
      </c>
      <c r="I211" s="39">
        <f>IF(C211="","",=IF(OR(ISNUMBER(SEARCH("STIPEND",C211)),ISNUMBER(SEARCH("SIGMASOFT",C211)),ISNUMBER(SEARCH("SALARY",C211))),"Internship Stipend",IF(OR(ISNUMBER(SEARCH("FAMILY",C211)),ISNUMBER(SEARCH("PAPA",C211)),ISNUMBER(SEARCH("MOM",C211)),ISNUMBER(SEARCH("FATHER",C211))),"Family Support",IF(OR(ISNUMBER(SEARCH("PG",C211)),ISNUMBER(SEARCH("RENT",C211)),ISNUMBER(SEARCH("STANZA",C211)),ISNUMBER(SEARCH("ZOLO",C211))),"PG Rent &amp; Covered Meals",IF(OR(ISNUMBER(SEARCH("GROWW",C211)),ISNUMBER(SEARCH("ZERODHA",C211)),ISNUMBER(SEARCH("MUTUAL",C211)),ISNUMBER(SEARCH("SIP",C211)),ISNUMBER(SEARCH("NIPPON",C211))),"Monthly SIP Investment",IF(OR(ISNUMBER(SEARCH("BMTC",C211)),ISNUMBER(SEARCH("BUS",C211)),ISNUMBER(SEARCH("METRO",C211)),ISNUMBER(SEARCH("CHALO",C211))),"BMTC Bus Commute",IF(OR(ISNUMBER(SEARCH("SWIGGY",C211)),ISNUMBER(SEARCH("ZOMATO",C211)),ISNUMBER(SEARCH("CANTEEN",C211)),ISNUMBER(SEARCH("LUNCH",C211)),ISNUMBER(SEARCH("FOOD",C211)),ISNUMBER(SEARCH("SUBWAY",C211))),"Daily Office Lunch (Mon–Sat)",IF(OR(ISNUMBER(SEARCH("BLINKIT",C211)),ISNUMBER(SEARCH("ZEPTO",C211)),ISNUMBER(SEARCH("RECHARGE",C211)),ISNUMBER(SEARCH("JIO",C211)),ISNUMBER(SEARCH("AIRTEL",C211)),ISNUMBER(SEARCH("PHARMACY",C211)),ISNUMBER(SEARCH("APOLLO",C211)),ISNUMBER(SEARCH("ESSENTIALS",C211)),ISNUMBER(SEARCH("LIFESTYLE",C211))),"Lifestyle &amp; Personal Essentials",IF(OR(ISNUMBER(SEARCH("EMERGENCY",C211)),ISNUMBER(SEARCH("SWEEP",C211)),ISNUMBER(SEARCH("RESERVE",C211))),"Emergency Fund Allocation","Unallocated Flex Buffer")))))))))</f>
        <v/>
      </c>
      <c r="J211" s="39" t="inlineStr"/>
      <c r="K211" s="23">
        <f>IF(C211="","",IF(J211&lt;&gt;"",J211,I211))</f>
        <v/>
      </c>
      <c r="L211" s="40">
        <f>IF(A211="","",IF(ISNUMBER(A211),TEXT(A211,"mmm-yyyy"),"Oct-2026"))</f>
        <v/>
      </c>
      <c r="M211" s="40">
        <f>IF(D211&gt;=5000,"🚨 High Value Debit (₹"&amp;TEXT(D211,"#,##0")&amp;")",IF(D211&gt;=1000,"⚡ Notable Expense","—"))</f>
        <v/>
      </c>
    </row>
    <row r="212">
      <c r="A212" s="39" t="inlineStr"/>
      <c r="B212" s="39" t="inlineStr"/>
      <c r="C212" s="39" t="inlineStr"/>
      <c r="D212" s="41" t="inlineStr"/>
      <c r="E212" s="41" t="inlineStr"/>
      <c r="F212" s="41" t="inlineStr"/>
      <c r="G212" s="39" t="inlineStr"/>
      <c r="H212" s="26">
        <f>IF(C212="","",IF(E212&gt;0,"INCOME",IF(D212&gt;0,"EXPENSE","NEUTRAL")))</f>
        <v/>
      </c>
      <c r="I212" s="39">
        <f>IF(C212="","",=IF(OR(ISNUMBER(SEARCH("STIPEND",C212)),ISNUMBER(SEARCH("SIGMASOFT",C212)),ISNUMBER(SEARCH("SALARY",C212))),"Internship Stipend",IF(OR(ISNUMBER(SEARCH("FAMILY",C212)),ISNUMBER(SEARCH("PAPA",C212)),ISNUMBER(SEARCH("MOM",C212)),ISNUMBER(SEARCH("FATHER",C212))),"Family Support",IF(OR(ISNUMBER(SEARCH("PG",C212)),ISNUMBER(SEARCH("RENT",C212)),ISNUMBER(SEARCH("STANZA",C212)),ISNUMBER(SEARCH("ZOLO",C212))),"PG Rent &amp; Covered Meals",IF(OR(ISNUMBER(SEARCH("GROWW",C212)),ISNUMBER(SEARCH("ZERODHA",C212)),ISNUMBER(SEARCH("MUTUAL",C212)),ISNUMBER(SEARCH("SIP",C212)),ISNUMBER(SEARCH("NIPPON",C212))),"Monthly SIP Investment",IF(OR(ISNUMBER(SEARCH("BMTC",C212)),ISNUMBER(SEARCH("BUS",C212)),ISNUMBER(SEARCH("METRO",C212)),ISNUMBER(SEARCH("CHALO",C212))),"BMTC Bus Commute",IF(OR(ISNUMBER(SEARCH("SWIGGY",C212)),ISNUMBER(SEARCH("ZOMATO",C212)),ISNUMBER(SEARCH("CANTEEN",C212)),ISNUMBER(SEARCH("LUNCH",C212)),ISNUMBER(SEARCH("FOOD",C212)),ISNUMBER(SEARCH("SUBWAY",C212))),"Daily Office Lunch (Mon–Sat)",IF(OR(ISNUMBER(SEARCH("BLINKIT",C212)),ISNUMBER(SEARCH("ZEPTO",C212)),ISNUMBER(SEARCH("RECHARGE",C212)),ISNUMBER(SEARCH("JIO",C212)),ISNUMBER(SEARCH("AIRTEL",C212)),ISNUMBER(SEARCH("PHARMACY",C212)),ISNUMBER(SEARCH("APOLLO",C212)),ISNUMBER(SEARCH("ESSENTIALS",C212)),ISNUMBER(SEARCH("LIFESTYLE",C212))),"Lifestyle &amp; Personal Essentials",IF(OR(ISNUMBER(SEARCH("EMERGENCY",C212)),ISNUMBER(SEARCH("SWEEP",C212)),ISNUMBER(SEARCH("RESERVE",C212))),"Emergency Fund Allocation","Unallocated Flex Buffer")))))))))</f>
        <v/>
      </c>
      <c r="J212" s="39" t="inlineStr"/>
      <c r="K212" s="23">
        <f>IF(C212="","",IF(J212&lt;&gt;"",J212,I212))</f>
        <v/>
      </c>
      <c r="L212" s="40">
        <f>IF(A212="","",IF(ISNUMBER(A212),TEXT(A212,"mmm-yyyy"),"Oct-2026"))</f>
        <v/>
      </c>
      <c r="M212" s="40">
        <f>IF(D212&gt;=5000,"🚨 High Value Debit (₹"&amp;TEXT(D212,"#,##0")&amp;")",IF(D212&gt;=1000,"⚡ Notable Expense","—"))</f>
        <v/>
      </c>
    </row>
    <row r="213">
      <c r="A213" s="39" t="inlineStr"/>
      <c r="B213" s="39" t="inlineStr"/>
      <c r="C213" s="39" t="inlineStr"/>
      <c r="D213" s="41" t="inlineStr"/>
      <c r="E213" s="41" t="inlineStr"/>
      <c r="F213" s="41" t="inlineStr"/>
      <c r="G213" s="39" t="inlineStr"/>
      <c r="H213" s="26">
        <f>IF(C213="","",IF(E213&gt;0,"INCOME",IF(D213&gt;0,"EXPENSE","NEUTRAL")))</f>
        <v/>
      </c>
      <c r="I213" s="39">
        <f>IF(C213="","",=IF(OR(ISNUMBER(SEARCH("STIPEND",C213)),ISNUMBER(SEARCH("SIGMASOFT",C213)),ISNUMBER(SEARCH("SALARY",C213))),"Internship Stipend",IF(OR(ISNUMBER(SEARCH("FAMILY",C213)),ISNUMBER(SEARCH("PAPA",C213)),ISNUMBER(SEARCH("MOM",C213)),ISNUMBER(SEARCH("FATHER",C213))),"Family Support",IF(OR(ISNUMBER(SEARCH("PG",C213)),ISNUMBER(SEARCH("RENT",C213)),ISNUMBER(SEARCH("STANZA",C213)),ISNUMBER(SEARCH("ZOLO",C213))),"PG Rent &amp; Covered Meals",IF(OR(ISNUMBER(SEARCH("GROWW",C213)),ISNUMBER(SEARCH("ZERODHA",C213)),ISNUMBER(SEARCH("MUTUAL",C213)),ISNUMBER(SEARCH("SIP",C213)),ISNUMBER(SEARCH("NIPPON",C213))),"Monthly SIP Investment",IF(OR(ISNUMBER(SEARCH("BMTC",C213)),ISNUMBER(SEARCH("BUS",C213)),ISNUMBER(SEARCH("METRO",C213)),ISNUMBER(SEARCH("CHALO",C213))),"BMTC Bus Commute",IF(OR(ISNUMBER(SEARCH("SWIGGY",C213)),ISNUMBER(SEARCH("ZOMATO",C213)),ISNUMBER(SEARCH("CANTEEN",C213)),ISNUMBER(SEARCH("LUNCH",C213)),ISNUMBER(SEARCH("FOOD",C213)),ISNUMBER(SEARCH("SUBWAY",C213))),"Daily Office Lunch (Mon–Sat)",IF(OR(ISNUMBER(SEARCH("BLINKIT",C213)),ISNUMBER(SEARCH("ZEPTO",C213)),ISNUMBER(SEARCH("RECHARGE",C213)),ISNUMBER(SEARCH("JIO",C213)),ISNUMBER(SEARCH("AIRTEL",C213)),ISNUMBER(SEARCH("PHARMACY",C213)),ISNUMBER(SEARCH("APOLLO",C213)),ISNUMBER(SEARCH("ESSENTIALS",C213)),ISNUMBER(SEARCH("LIFESTYLE",C213))),"Lifestyle &amp; Personal Essentials",IF(OR(ISNUMBER(SEARCH("EMERGENCY",C213)),ISNUMBER(SEARCH("SWEEP",C213)),ISNUMBER(SEARCH("RESERVE",C213))),"Emergency Fund Allocation","Unallocated Flex Buffer")))))))))</f>
        <v/>
      </c>
      <c r="J213" s="39" t="inlineStr"/>
      <c r="K213" s="23">
        <f>IF(C213="","",IF(J213&lt;&gt;"",J213,I213))</f>
        <v/>
      </c>
      <c r="L213" s="40">
        <f>IF(A213="","",IF(ISNUMBER(A213),TEXT(A213,"mmm-yyyy"),"Oct-2026"))</f>
        <v/>
      </c>
      <c r="M213" s="40">
        <f>IF(D213&gt;=5000,"🚨 High Value Debit (₹"&amp;TEXT(D213,"#,##0")&amp;")",IF(D213&gt;=1000,"⚡ Notable Expense","—"))</f>
        <v/>
      </c>
    </row>
    <row r="214">
      <c r="A214" s="39" t="inlineStr"/>
      <c r="B214" s="39" t="inlineStr"/>
      <c r="C214" s="39" t="inlineStr"/>
      <c r="D214" s="41" t="inlineStr"/>
      <c r="E214" s="41" t="inlineStr"/>
      <c r="F214" s="41" t="inlineStr"/>
      <c r="G214" s="39" t="inlineStr"/>
      <c r="H214" s="26">
        <f>IF(C214="","",IF(E214&gt;0,"INCOME",IF(D214&gt;0,"EXPENSE","NEUTRAL")))</f>
        <v/>
      </c>
      <c r="I214" s="39">
        <f>IF(C214="","",=IF(OR(ISNUMBER(SEARCH("STIPEND",C214)),ISNUMBER(SEARCH("SIGMASOFT",C214)),ISNUMBER(SEARCH("SALARY",C214))),"Internship Stipend",IF(OR(ISNUMBER(SEARCH("FAMILY",C214)),ISNUMBER(SEARCH("PAPA",C214)),ISNUMBER(SEARCH("MOM",C214)),ISNUMBER(SEARCH("FATHER",C214))),"Family Support",IF(OR(ISNUMBER(SEARCH("PG",C214)),ISNUMBER(SEARCH("RENT",C214)),ISNUMBER(SEARCH("STANZA",C214)),ISNUMBER(SEARCH("ZOLO",C214))),"PG Rent &amp; Covered Meals",IF(OR(ISNUMBER(SEARCH("GROWW",C214)),ISNUMBER(SEARCH("ZERODHA",C214)),ISNUMBER(SEARCH("MUTUAL",C214)),ISNUMBER(SEARCH("SIP",C214)),ISNUMBER(SEARCH("NIPPON",C214))),"Monthly SIP Investment",IF(OR(ISNUMBER(SEARCH("BMTC",C214)),ISNUMBER(SEARCH("BUS",C214)),ISNUMBER(SEARCH("METRO",C214)),ISNUMBER(SEARCH("CHALO",C214))),"BMTC Bus Commute",IF(OR(ISNUMBER(SEARCH("SWIGGY",C214)),ISNUMBER(SEARCH("ZOMATO",C214)),ISNUMBER(SEARCH("CANTEEN",C214)),ISNUMBER(SEARCH("LUNCH",C214)),ISNUMBER(SEARCH("FOOD",C214)),ISNUMBER(SEARCH("SUBWAY",C214))),"Daily Office Lunch (Mon–Sat)",IF(OR(ISNUMBER(SEARCH("BLINKIT",C214)),ISNUMBER(SEARCH("ZEPTO",C214)),ISNUMBER(SEARCH("RECHARGE",C214)),ISNUMBER(SEARCH("JIO",C214)),ISNUMBER(SEARCH("AIRTEL",C214)),ISNUMBER(SEARCH("PHARMACY",C214)),ISNUMBER(SEARCH("APOLLO",C214)),ISNUMBER(SEARCH("ESSENTIALS",C214)),ISNUMBER(SEARCH("LIFESTYLE",C214))),"Lifestyle &amp; Personal Essentials",IF(OR(ISNUMBER(SEARCH("EMERGENCY",C214)),ISNUMBER(SEARCH("SWEEP",C214)),ISNUMBER(SEARCH("RESERVE",C214))),"Emergency Fund Allocation","Unallocated Flex Buffer")))))))))</f>
        <v/>
      </c>
      <c r="J214" s="39" t="inlineStr"/>
      <c r="K214" s="23">
        <f>IF(C214="","",IF(J214&lt;&gt;"",J214,I214))</f>
        <v/>
      </c>
      <c r="L214" s="40">
        <f>IF(A214="","",IF(ISNUMBER(A214),TEXT(A214,"mmm-yyyy"),"Oct-2026"))</f>
        <v/>
      </c>
      <c r="M214" s="40">
        <f>IF(D214&gt;=5000,"🚨 High Value Debit (₹"&amp;TEXT(D214,"#,##0")&amp;")",IF(D214&gt;=1000,"⚡ Notable Expense","—"))</f>
        <v/>
      </c>
    </row>
    <row r="215">
      <c r="A215" s="39" t="inlineStr"/>
      <c r="B215" s="39" t="inlineStr"/>
      <c r="C215" s="39" t="inlineStr"/>
      <c r="D215" s="41" t="inlineStr"/>
      <c r="E215" s="41" t="inlineStr"/>
      <c r="F215" s="41" t="inlineStr"/>
      <c r="G215" s="39" t="inlineStr"/>
      <c r="H215" s="26">
        <f>IF(C215="","",IF(E215&gt;0,"INCOME",IF(D215&gt;0,"EXPENSE","NEUTRAL")))</f>
        <v/>
      </c>
      <c r="I215" s="39">
        <f>IF(C215="","",=IF(OR(ISNUMBER(SEARCH("STIPEND",C215)),ISNUMBER(SEARCH("SIGMASOFT",C215)),ISNUMBER(SEARCH("SALARY",C215))),"Internship Stipend",IF(OR(ISNUMBER(SEARCH("FAMILY",C215)),ISNUMBER(SEARCH("PAPA",C215)),ISNUMBER(SEARCH("MOM",C215)),ISNUMBER(SEARCH("FATHER",C215))),"Family Support",IF(OR(ISNUMBER(SEARCH("PG",C215)),ISNUMBER(SEARCH("RENT",C215)),ISNUMBER(SEARCH("STANZA",C215)),ISNUMBER(SEARCH("ZOLO",C215))),"PG Rent &amp; Covered Meals",IF(OR(ISNUMBER(SEARCH("GROWW",C215)),ISNUMBER(SEARCH("ZERODHA",C215)),ISNUMBER(SEARCH("MUTUAL",C215)),ISNUMBER(SEARCH("SIP",C215)),ISNUMBER(SEARCH("NIPPON",C215))),"Monthly SIP Investment",IF(OR(ISNUMBER(SEARCH("BMTC",C215)),ISNUMBER(SEARCH("BUS",C215)),ISNUMBER(SEARCH("METRO",C215)),ISNUMBER(SEARCH("CHALO",C215))),"BMTC Bus Commute",IF(OR(ISNUMBER(SEARCH("SWIGGY",C215)),ISNUMBER(SEARCH("ZOMATO",C215)),ISNUMBER(SEARCH("CANTEEN",C215)),ISNUMBER(SEARCH("LUNCH",C215)),ISNUMBER(SEARCH("FOOD",C215)),ISNUMBER(SEARCH("SUBWAY",C215))),"Daily Office Lunch (Mon–Sat)",IF(OR(ISNUMBER(SEARCH("BLINKIT",C215)),ISNUMBER(SEARCH("ZEPTO",C215)),ISNUMBER(SEARCH("RECHARGE",C215)),ISNUMBER(SEARCH("JIO",C215)),ISNUMBER(SEARCH("AIRTEL",C215)),ISNUMBER(SEARCH("PHARMACY",C215)),ISNUMBER(SEARCH("APOLLO",C215)),ISNUMBER(SEARCH("ESSENTIALS",C215)),ISNUMBER(SEARCH("LIFESTYLE",C215))),"Lifestyle &amp; Personal Essentials",IF(OR(ISNUMBER(SEARCH("EMERGENCY",C215)),ISNUMBER(SEARCH("SWEEP",C215)),ISNUMBER(SEARCH("RESERVE",C215))),"Emergency Fund Allocation","Unallocated Flex Buffer")))))))))</f>
        <v/>
      </c>
      <c r="J215" s="39" t="inlineStr"/>
      <c r="K215" s="23">
        <f>IF(C215="","",IF(J215&lt;&gt;"",J215,I215))</f>
        <v/>
      </c>
      <c r="L215" s="40">
        <f>IF(A215="","",IF(ISNUMBER(A215),TEXT(A215,"mmm-yyyy"),"Oct-2026"))</f>
        <v/>
      </c>
      <c r="M215" s="40">
        <f>IF(D215&gt;=5000,"🚨 High Value Debit (₹"&amp;TEXT(D215,"#,##0")&amp;")",IF(D215&gt;=1000,"⚡ Notable Expense","—"))</f>
        <v/>
      </c>
    </row>
    <row r="216">
      <c r="A216" s="39" t="inlineStr"/>
      <c r="B216" s="39" t="inlineStr"/>
      <c r="C216" s="39" t="inlineStr"/>
      <c r="D216" s="41" t="inlineStr"/>
      <c r="E216" s="41" t="inlineStr"/>
      <c r="F216" s="41" t="inlineStr"/>
      <c r="G216" s="39" t="inlineStr"/>
      <c r="H216" s="26">
        <f>IF(C216="","",IF(E216&gt;0,"INCOME",IF(D216&gt;0,"EXPENSE","NEUTRAL")))</f>
        <v/>
      </c>
      <c r="I216" s="39">
        <f>IF(C216="","",=IF(OR(ISNUMBER(SEARCH("STIPEND",C216)),ISNUMBER(SEARCH("SIGMASOFT",C216)),ISNUMBER(SEARCH("SALARY",C216))),"Internship Stipend",IF(OR(ISNUMBER(SEARCH("FAMILY",C216)),ISNUMBER(SEARCH("PAPA",C216)),ISNUMBER(SEARCH("MOM",C216)),ISNUMBER(SEARCH("FATHER",C216))),"Family Support",IF(OR(ISNUMBER(SEARCH("PG",C216)),ISNUMBER(SEARCH("RENT",C216)),ISNUMBER(SEARCH("STANZA",C216)),ISNUMBER(SEARCH("ZOLO",C216))),"PG Rent &amp; Covered Meals",IF(OR(ISNUMBER(SEARCH("GROWW",C216)),ISNUMBER(SEARCH("ZERODHA",C216)),ISNUMBER(SEARCH("MUTUAL",C216)),ISNUMBER(SEARCH("SIP",C216)),ISNUMBER(SEARCH("NIPPON",C216))),"Monthly SIP Investment",IF(OR(ISNUMBER(SEARCH("BMTC",C216)),ISNUMBER(SEARCH("BUS",C216)),ISNUMBER(SEARCH("METRO",C216)),ISNUMBER(SEARCH("CHALO",C216))),"BMTC Bus Commute",IF(OR(ISNUMBER(SEARCH("SWIGGY",C216)),ISNUMBER(SEARCH("ZOMATO",C216)),ISNUMBER(SEARCH("CANTEEN",C216)),ISNUMBER(SEARCH("LUNCH",C216)),ISNUMBER(SEARCH("FOOD",C216)),ISNUMBER(SEARCH("SUBWAY",C216))),"Daily Office Lunch (Mon–Sat)",IF(OR(ISNUMBER(SEARCH("BLINKIT",C216)),ISNUMBER(SEARCH("ZEPTO",C216)),ISNUMBER(SEARCH("RECHARGE",C216)),ISNUMBER(SEARCH("JIO",C216)),ISNUMBER(SEARCH("AIRTEL",C216)),ISNUMBER(SEARCH("PHARMACY",C216)),ISNUMBER(SEARCH("APOLLO",C216)),ISNUMBER(SEARCH("ESSENTIALS",C216)),ISNUMBER(SEARCH("LIFESTYLE",C216))),"Lifestyle &amp; Personal Essentials",IF(OR(ISNUMBER(SEARCH("EMERGENCY",C216)),ISNUMBER(SEARCH("SWEEP",C216)),ISNUMBER(SEARCH("RESERVE",C216))),"Emergency Fund Allocation","Unallocated Flex Buffer")))))))))</f>
        <v/>
      </c>
      <c r="J216" s="39" t="inlineStr"/>
      <c r="K216" s="23">
        <f>IF(C216="","",IF(J216&lt;&gt;"",J216,I216))</f>
        <v/>
      </c>
      <c r="L216" s="40">
        <f>IF(A216="","",IF(ISNUMBER(A216),TEXT(A216,"mmm-yyyy"),"Oct-2026"))</f>
        <v/>
      </c>
      <c r="M216" s="40">
        <f>IF(D216&gt;=5000,"🚨 High Value Debit (₹"&amp;TEXT(D216,"#,##0")&amp;")",IF(D216&gt;=1000,"⚡ Notable Expense","—"))</f>
        <v/>
      </c>
    </row>
    <row r="217">
      <c r="A217" s="39" t="inlineStr"/>
      <c r="B217" s="39" t="inlineStr"/>
      <c r="C217" s="39" t="inlineStr"/>
      <c r="D217" s="41" t="inlineStr"/>
      <c r="E217" s="41" t="inlineStr"/>
      <c r="F217" s="41" t="inlineStr"/>
      <c r="G217" s="39" t="inlineStr"/>
      <c r="H217" s="26">
        <f>IF(C217="","",IF(E217&gt;0,"INCOME",IF(D217&gt;0,"EXPENSE","NEUTRAL")))</f>
        <v/>
      </c>
      <c r="I217" s="39">
        <f>IF(C217="","",=IF(OR(ISNUMBER(SEARCH("STIPEND",C217)),ISNUMBER(SEARCH("SIGMASOFT",C217)),ISNUMBER(SEARCH("SALARY",C217))),"Internship Stipend",IF(OR(ISNUMBER(SEARCH("FAMILY",C217)),ISNUMBER(SEARCH("PAPA",C217)),ISNUMBER(SEARCH("MOM",C217)),ISNUMBER(SEARCH("FATHER",C217))),"Family Support",IF(OR(ISNUMBER(SEARCH("PG",C217)),ISNUMBER(SEARCH("RENT",C217)),ISNUMBER(SEARCH("STANZA",C217)),ISNUMBER(SEARCH("ZOLO",C217))),"PG Rent &amp; Covered Meals",IF(OR(ISNUMBER(SEARCH("GROWW",C217)),ISNUMBER(SEARCH("ZERODHA",C217)),ISNUMBER(SEARCH("MUTUAL",C217)),ISNUMBER(SEARCH("SIP",C217)),ISNUMBER(SEARCH("NIPPON",C217))),"Monthly SIP Investment",IF(OR(ISNUMBER(SEARCH("BMTC",C217)),ISNUMBER(SEARCH("BUS",C217)),ISNUMBER(SEARCH("METRO",C217)),ISNUMBER(SEARCH("CHALO",C217))),"BMTC Bus Commute",IF(OR(ISNUMBER(SEARCH("SWIGGY",C217)),ISNUMBER(SEARCH("ZOMATO",C217)),ISNUMBER(SEARCH("CANTEEN",C217)),ISNUMBER(SEARCH("LUNCH",C217)),ISNUMBER(SEARCH("FOOD",C217)),ISNUMBER(SEARCH("SUBWAY",C217))),"Daily Office Lunch (Mon–Sat)",IF(OR(ISNUMBER(SEARCH("BLINKIT",C217)),ISNUMBER(SEARCH("ZEPTO",C217)),ISNUMBER(SEARCH("RECHARGE",C217)),ISNUMBER(SEARCH("JIO",C217)),ISNUMBER(SEARCH("AIRTEL",C217)),ISNUMBER(SEARCH("PHARMACY",C217)),ISNUMBER(SEARCH("APOLLO",C217)),ISNUMBER(SEARCH("ESSENTIALS",C217)),ISNUMBER(SEARCH("LIFESTYLE",C217))),"Lifestyle &amp; Personal Essentials",IF(OR(ISNUMBER(SEARCH("EMERGENCY",C217)),ISNUMBER(SEARCH("SWEEP",C217)),ISNUMBER(SEARCH("RESERVE",C217))),"Emergency Fund Allocation","Unallocated Flex Buffer")))))))))</f>
        <v/>
      </c>
      <c r="J217" s="39" t="inlineStr"/>
      <c r="K217" s="23">
        <f>IF(C217="","",IF(J217&lt;&gt;"",J217,I217))</f>
        <v/>
      </c>
      <c r="L217" s="40">
        <f>IF(A217="","",IF(ISNUMBER(A217),TEXT(A217,"mmm-yyyy"),"Oct-2026"))</f>
        <v/>
      </c>
      <c r="M217" s="40">
        <f>IF(D217&gt;=5000,"🚨 High Value Debit (₹"&amp;TEXT(D217,"#,##0")&amp;")",IF(D217&gt;=1000,"⚡ Notable Expense","—"))</f>
        <v/>
      </c>
    </row>
    <row r="218">
      <c r="A218" s="39" t="inlineStr"/>
      <c r="B218" s="39" t="inlineStr"/>
      <c r="C218" s="39" t="inlineStr"/>
      <c r="D218" s="41" t="inlineStr"/>
      <c r="E218" s="41" t="inlineStr"/>
      <c r="F218" s="41" t="inlineStr"/>
      <c r="G218" s="39" t="inlineStr"/>
      <c r="H218" s="26">
        <f>IF(C218="","",IF(E218&gt;0,"INCOME",IF(D218&gt;0,"EXPENSE","NEUTRAL")))</f>
        <v/>
      </c>
      <c r="I218" s="39">
        <f>IF(C218="","",=IF(OR(ISNUMBER(SEARCH("STIPEND",C218)),ISNUMBER(SEARCH("SIGMASOFT",C218)),ISNUMBER(SEARCH("SALARY",C218))),"Internship Stipend",IF(OR(ISNUMBER(SEARCH("FAMILY",C218)),ISNUMBER(SEARCH("PAPA",C218)),ISNUMBER(SEARCH("MOM",C218)),ISNUMBER(SEARCH("FATHER",C218))),"Family Support",IF(OR(ISNUMBER(SEARCH("PG",C218)),ISNUMBER(SEARCH("RENT",C218)),ISNUMBER(SEARCH("STANZA",C218)),ISNUMBER(SEARCH("ZOLO",C218))),"PG Rent &amp; Covered Meals",IF(OR(ISNUMBER(SEARCH("GROWW",C218)),ISNUMBER(SEARCH("ZERODHA",C218)),ISNUMBER(SEARCH("MUTUAL",C218)),ISNUMBER(SEARCH("SIP",C218)),ISNUMBER(SEARCH("NIPPON",C218))),"Monthly SIP Investment",IF(OR(ISNUMBER(SEARCH("BMTC",C218)),ISNUMBER(SEARCH("BUS",C218)),ISNUMBER(SEARCH("METRO",C218)),ISNUMBER(SEARCH("CHALO",C218))),"BMTC Bus Commute",IF(OR(ISNUMBER(SEARCH("SWIGGY",C218)),ISNUMBER(SEARCH("ZOMATO",C218)),ISNUMBER(SEARCH("CANTEEN",C218)),ISNUMBER(SEARCH("LUNCH",C218)),ISNUMBER(SEARCH("FOOD",C218)),ISNUMBER(SEARCH("SUBWAY",C218))),"Daily Office Lunch (Mon–Sat)",IF(OR(ISNUMBER(SEARCH("BLINKIT",C218)),ISNUMBER(SEARCH("ZEPTO",C218)),ISNUMBER(SEARCH("RECHARGE",C218)),ISNUMBER(SEARCH("JIO",C218)),ISNUMBER(SEARCH("AIRTEL",C218)),ISNUMBER(SEARCH("PHARMACY",C218)),ISNUMBER(SEARCH("APOLLO",C218)),ISNUMBER(SEARCH("ESSENTIALS",C218)),ISNUMBER(SEARCH("LIFESTYLE",C218))),"Lifestyle &amp; Personal Essentials",IF(OR(ISNUMBER(SEARCH("EMERGENCY",C218)),ISNUMBER(SEARCH("SWEEP",C218)),ISNUMBER(SEARCH("RESERVE",C218))),"Emergency Fund Allocation","Unallocated Flex Buffer")))))))))</f>
        <v/>
      </c>
      <c r="J218" s="39" t="inlineStr"/>
      <c r="K218" s="23">
        <f>IF(C218="","",IF(J218&lt;&gt;"",J218,I218))</f>
        <v/>
      </c>
      <c r="L218" s="40">
        <f>IF(A218="","",IF(ISNUMBER(A218),TEXT(A218,"mmm-yyyy"),"Oct-2026"))</f>
        <v/>
      </c>
      <c r="M218" s="40">
        <f>IF(D218&gt;=5000,"🚨 High Value Debit (₹"&amp;TEXT(D218,"#,##0")&amp;")",IF(D218&gt;=1000,"⚡ Notable Expense","—"))</f>
        <v/>
      </c>
    </row>
    <row r="219">
      <c r="A219" s="39" t="inlineStr"/>
      <c r="B219" s="39" t="inlineStr"/>
      <c r="C219" s="39" t="inlineStr"/>
      <c r="D219" s="41" t="inlineStr"/>
      <c r="E219" s="41" t="inlineStr"/>
      <c r="F219" s="41" t="inlineStr"/>
      <c r="G219" s="39" t="inlineStr"/>
      <c r="H219" s="26">
        <f>IF(C219="","",IF(E219&gt;0,"INCOME",IF(D219&gt;0,"EXPENSE","NEUTRAL")))</f>
        <v/>
      </c>
      <c r="I219" s="39">
        <f>IF(C219="","",=IF(OR(ISNUMBER(SEARCH("STIPEND",C219)),ISNUMBER(SEARCH("SIGMASOFT",C219)),ISNUMBER(SEARCH("SALARY",C219))),"Internship Stipend",IF(OR(ISNUMBER(SEARCH("FAMILY",C219)),ISNUMBER(SEARCH("PAPA",C219)),ISNUMBER(SEARCH("MOM",C219)),ISNUMBER(SEARCH("FATHER",C219))),"Family Support",IF(OR(ISNUMBER(SEARCH("PG",C219)),ISNUMBER(SEARCH("RENT",C219)),ISNUMBER(SEARCH("STANZA",C219)),ISNUMBER(SEARCH("ZOLO",C219))),"PG Rent &amp; Covered Meals",IF(OR(ISNUMBER(SEARCH("GROWW",C219)),ISNUMBER(SEARCH("ZERODHA",C219)),ISNUMBER(SEARCH("MUTUAL",C219)),ISNUMBER(SEARCH("SIP",C219)),ISNUMBER(SEARCH("NIPPON",C219))),"Monthly SIP Investment",IF(OR(ISNUMBER(SEARCH("BMTC",C219)),ISNUMBER(SEARCH("BUS",C219)),ISNUMBER(SEARCH("METRO",C219)),ISNUMBER(SEARCH("CHALO",C219))),"BMTC Bus Commute",IF(OR(ISNUMBER(SEARCH("SWIGGY",C219)),ISNUMBER(SEARCH("ZOMATO",C219)),ISNUMBER(SEARCH("CANTEEN",C219)),ISNUMBER(SEARCH("LUNCH",C219)),ISNUMBER(SEARCH("FOOD",C219)),ISNUMBER(SEARCH("SUBWAY",C219))),"Daily Office Lunch (Mon–Sat)",IF(OR(ISNUMBER(SEARCH("BLINKIT",C219)),ISNUMBER(SEARCH("ZEPTO",C219)),ISNUMBER(SEARCH("RECHARGE",C219)),ISNUMBER(SEARCH("JIO",C219)),ISNUMBER(SEARCH("AIRTEL",C219)),ISNUMBER(SEARCH("PHARMACY",C219)),ISNUMBER(SEARCH("APOLLO",C219)),ISNUMBER(SEARCH("ESSENTIALS",C219)),ISNUMBER(SEARCH("LIFESTYLE",C219))),"Lifestyle &amp; Personal Essentials",IF(OR(ISNUMBER(SEARCH("EMERGENCY",C219)),ISNUMBER(SEARCH("SWEEP",C219)),ISNUMBER(SEARCH("RESERVE",C219))),"Emergency Fund Allocation","Unallocated Flex Buffer")))))))))</f>
        <v/>
      </c>
      <c r="J219" s="39" t="inlineStr"/>
      <c r="K219" s="23">
        <f>IF(C219="","",IF(J219&lt;&gt;"",J219,I219))</f>
        <v/>
      </c>
      <c r="L219" s="40">
        <f>IF(A219="","",IF(ISNUMBER(A219),TEXT(A219,"mmm-yyyy"),"Oct-2026"))</f>
        <v/>
      </c>
      <c r="M219" s="40">
        <f>IF(D219&gt;=5000,"🚨 High Value Debit (₹"&amp;TEXT(D219,"#,##0")&amp;")",IF(D219&gt;=1000,"⚡ Notable Expense","—"))</f>
        <v/>
      </c>
    </row>
    <row r="220">
      <c r="A220" s="39" t="inlineStr"/>
      <c r="B220" s="39" t="inlineStr"/>
      <c r="C220" s="39" t="inlineStr"/>
      <c r="D220" s="41" t="inlineStr"/>
      <c r="E220" s="41" t="inlineStr"/>
      <c r="F220" s="41" t="inlineStr"/>
      <c r="G220" s="39" t="inlineStr"/>
      <c r="H220" s="26">
        <f>IF(C220="","",IF(E220&gt;0,"INCOME",IF(D220&gt;0,"EXPENSE","NEUTRAL")))</f>
        <v/>
      </c>
      <c r="I220" s="39">
        <f>IF(C220="","",=IF(OR(ISNUMBER(SEARCH("STIPEND",C220)),ISNUMBER(SEARCH("SIGMASOFT",C220)),ISNUMBER(SEARCH("SALARY",C220))),"Internship Stipend",IF(OR(ISNUMBER(SEARCH("FAMILY",C220)),ISNUMBER(SEARCH("PAPA",C220)),ISNUMBER(SEARCH("MOM",C220)),ISNUMBER(SEARCH("FATHER",C220))),"Family Support",IF(OR(ISNUMBER(SEARCH("PG",C220)),ISNUMBER(SEARCH("RENT",C220)),ISNUMBER(SEARCH("STANZA",C220)),ISNUMBER(SEARCH("ZOLO",C220))),"PG Rent &amp; Covered Meals",IF(OR(ISNUMBER(SEARCH("GROWW",C220)),ISNUMBER(SEARCH("ZERODHA",C220)),ISNUMBER(SEARCH("MUTUAL",C220)),ISNUMBER(SEARCH("SIP",C220)),ISNUMBER(SEARCH("NIPPON",C220))),"Monthly SIP Investment",IF(OR(ISNUMBER(SEARCH("BMTC",C220)),ISNUMBER(SEARCH("BUS",C220)),ISNUMBER(SEARCH("METRO",C220)),ISNUMBER(SEARCH("CHALO",C220))),"BMTC Bus Commute",IF(OR(ISNUMBER(SEARCH("SWIGGY",C220)),ISNUMBER(SEARCH("ZOMATO",C220)),ISNUMBER(SEARCH("CANTEEN",C220)),ISNUMBER(SEARCH("LUNCH",C220)),ISNUMBER(SEARCH("FOOD",C220)),ISNUMBER(SEARCH("SUBWAY",C220))),"Daily Office Lunch (Mon–Sat)",IF(OR(ISNUMBER(SEARCH("BLINKIT",C220)),ISNUMBER(SEARCH("ZEPTO",C220)),ISNUMBER(SEARCH("RECHARGE",C220)),ISNUMBER(SEARCH("JIO",C220)),ISNUMBER(SEARCH("AIRTEL",C220)),ISNUMBER(SEARCH("PHARMACY",C220)),ISNUMBER(SEARCH("APOLLO",C220)),ISNUMBER(SEARCH("ESSENTIALS",C220)),ISNUMBER(SEARCH("LIFESTYLE",C220))),"Lifestyle &amp; Personal Essentials",IF(OR(ISNUMBER(SEARCH("EMERGENCY",C220)),ISNUMBER(SEARCH("SWEEP",C220)),ISNUMBER(SEARCH("RESERVE",C220))),"Emergency Fund Allocation","Unallocated Flex Buffer")))))))))</f>
        <v/>
      </c>
      <c r="J220" s="39" t="inlineStr"/>
      <c r="K220" s="23">
        <f>IF(C220="","",IF(J220&lt;&gt;"",J220,I220))</f>
        <v/>
      </c>
      <c r="L220" s="40">
        <f>IF(A220="","",IF(ISNUMBER(A220),TEXT(A220,"mmm-yyyy"),"Oct-2026"))</f>
        <v/>
      </c>
      <c r="M220" s="40">
        <f>IF(D220&gt;=5000,"🚨 High Value Debit (₹"&amp;TEXT(D220,"#,##0")&amp;")",IF(D220&gt;=1000,"⚡ Notable Expense","—"))</f>
        <v/>
      </c>
    </row>
    <row r="221">
      <c r="A221" s="39" t="inlineStr"/>
      <c r="B221" s="39" t="inlineStr"/>
      <c r="C221" s="39" t="inlineStr"/>
      <c r="D221" s="41" t="inlineStr"/>
      <c r="E221" s="41" t="inlineStr"/>
      <c r="F221" s="41" t="inlineStr"/>
      <c r="G221" s="39" t="inlineStr"/>
      <c r="H221" s="26">
        <f>IF(C221="","",IF(E221&gt;0,"INCOME",IF(D221&gt;0,"EXPENSE","NEUTRAL")))</f>
        <v/>
      </c>
      <c r="I221" s="39">
        <f>IF(C221="","",=IF(OR(ISNUMBER(SEARCH("STIPEND",C221)),ISNUMBER(SEARCH("SIGMASOFT",C221)),ISNUMBER(SEARCH("SALARY",C221))),"Internship Stipend",IF(OR(ISNUMBER(SEARCH("FAMILY",C221)),ISNUMBER(SEARCH("PAPA",C221)),ISNUMBER(SEARCH("MOM",C221)),ISNUMBER(SEARCH("FATHER",C221))),"Family Support",IF(OR(ISNUMBER(SEARCH("PG",C221)),ISNUMBER(SEARCH("RENT",C221)),ISNUMBER(SEARCH("STANZA",C221)),ISNUMBER(SEARCH("ZOLO",C221))),"PG Rent &amp; Covered Meals",IF(OR(ISNUMBER(SEARCH("GROWW",C221)),ISNUMBER(SEARCH("ZERODHA",C221)),ISNUMBER(SEARCH("MUTUAL",C221)),ISNUMBER(SEARCH("SIP",C221)),ISNUMBER(SEARCH("NIPPON",C221))),"Monthly SIP Investment",IF(OR(ISNUMBER(SEARCH("BMTC",C221)),ISNUMBER(SEARCH("BUS",C221)),ISNUMBER(SEARCH("METRO",C221)),ISNUMBER(SEARCH("CHALO",C221))),"BMTC Bus Commute",IF(OR(ISNUMBER(SEARCH("SWIGGY",C221)),ISNUMBER(SEARCH("ZOMATO",C221)),ISNUMBER(SEARCH("CANTEEN",C221)),ISNUMBER(SEARCH("LUNCH",C221)),ISNUMBER(SEARCH("FOOD",C221)),ISNUMBER(SEARCH("SUBWAY",C221))),"Daily Office Lunch (Mon–Sat)",IF(OR(ISNUMBER(SEARCH("BLINKIT",C221)),ISNUMBER(SEARCH("ZEPTO",C221)),ISNUMBER(SEARCH("RECHARGE",C221)),ISNUMBER(SEARCH("JIO",C221)),ISNUMBER(SEARCH("AIRTEL",C221)),ISNUMBER(SEARCH("PHARMACY",C221)),ISNUMBER(SEARCH("APOLLO",C221)),ISNUMBER(SEARCH("ESSENTIALS",C221)),ISNUMBER(SEARCH("LIFESTYLE",C221))),"Lifestyle &amp; Personal Essentials",IF(OR(ISNUMBER(SEARCH("EMERGENCY",C221)),ISNUMBER(SEARCH("SWEEP",C221)),ISNUMBER(SEARCH("RESERVE",C221))),"Emergency Fund Allocation","Unallocated Flex Buffer")))))))))</f>
        <v/>
      </c>
      <c r="J221" s="39" t="inlineStr"/>
      <c r="K221" s="23">
        <f>IF(C221="","",IF(J221&lt;&gt;"",J221,I221))</f>
        <v/>
      </c>
      <c r="L221" s="40">
        <f>IF(A221="","",IF(ISNUMBER(A221),TEXT(A221,"mmm-yyyy"),"Oct-2026"))</f>
        <v/>
      </c>
      <c r="M221" s="40">
        <f>IF(D221&gt;=5000,"🚨 High Value Debit (₹"&amp;TEXT(D221,"#,##0")&amp;")",IF(D221&gt;=1000,"⚡ Notable Expense","—"))</f>
        <v/>
      </c>
    </row>
    <row r="222">
      <c r="A222" s="39" t="inlineStr"/>
      <c r="B222" s="39" t="inlineStr"/>
      <c r="C222" s="39" t="inlineStr"/>
      <c r="D222" s="41" t="inlineStr"/>
      <c r="E222" s="41" t="inlineStr"/>
      <c r="F222" s="41" t="inlineStr"/>
      <c r="G222" s="39" t="inlineStr"/>
      <c r="H222" s="26">
        <f>IF(C222="","",IF(E222&gt;0,"INCOME",IF(D222&gt;0,"EXPENSE","NEUTRAL")))</f>
        <v/>
      </c>
      <c r="I222" s="39">
        <f>IF(C222="","",=IF(OR(ISNUMBER(SEARCH("STIPEND",C222)),ISNUMBER(SEARCH("SIGMASOFT",C222)),ISNUMBER(SEARCH("SALARY",C222))),"Internship Stipend",IF(OR(ISNUMBER(SEARCH("FAMILY",C222)),ISNUMBER(SEARCH("PAPA",C222)),ISNUMBER(SEARCH("MOM",C222)),ISNUMBER(SEARCH("FATHER",C222))),"Family Support",IF(OR(ISNUMBER(SEARCH("PG",C222)),ISNUMBER(SEARCH("RENT",C222)),ISNUMBER(SEARCH("STANZA",C222)),ISNUMBER(SEARCH("ZOLO",C222))),"PG Rent &amp; Covered Meals",IF(OR(ISNUMBER(SEARCH("GROWW",C222)),ISNUMBER(SEARCH("ZERODHA",C222)),ISNUMBER(SEARCH("MUTUAL",C222)),ISNUMBER(SEARCH("SIP",C222)),ISNUMBER(SEARCH("NIPPON",C222))),"Monthly SIP Investment",IF(OR(ISNUMBER(SEARCH("BMTC",C222)),ISNUMBER(SEARCH("BUS",C222)),ISNUMBER(SEARCH("METRO",C222)),ISNUMBER(SEARCH("CHALO",C222))),"BMTC Bus Commute",IF(OR(ISNUMBER(SEARCH("SWIGGY",C222)),ISNUMBER(SEARCH("ZOMATO",C222)),ISNUMBER(SEARCH("CANTEEN",C222)),ISNUMBER(SEARCH("LUNCH",C222)),ISNUMBER(SEARCH("FOOD",C222)),ISNUMBER(SEARCH("SUBWAY",C222))),"Daily Office Lunch (Mon–Sat)",IF(OR(ISNUMBER(SEARCH("BLINKIT",C222)),ISNUMBER(SEARCH("ZEPTO",C222)),ISNUMBER(SEARCH("RECHARGE",C222)),ISNUMBER(SEARCH("JIO",C222)),ISNUMBER(SEARCH("AIRTEL",C222)),ISNUMBER(SEARCH("PHARMACY",C222)),ISNUMBER(SEARCH("APOLLO",C222)),ISNUMBER(SEARCH("ESSENTIALS",C222)),ISNUMBER(SEARCH("LIFESTYLE",C222))),"Lifestyle &amp; Personal Essentials",IF(OR(ISNUMBER(SEARCH("EMERGENCY",C222)),ISNUMBER(SEARCH("SWEEP",C222)),ISNUMBER(SEARCH("RESERVE",C222))),"Emergency Fund Allocation","Unallocated Flex Buffer")))))))))</f>
        <v/>
      </c>
      <c r="J222" s="39" t="inlineStr"/>
      <c r="K222" s="23">
        <f>IF(C222="","",IF(J222&lt;&gt;"",J222,I222))</f>
        <v/>
      </c>
      <c r="L222" s="40">
        <f>IF(A222="","",IF(ISNUMBER(A222),TEXT(A222,"mmm-yyyy"),"Oct-2026"))</f>
        <v/>
      </c>
      <c r="M222" s="40">
        <f>IF(D222&gt;=5000,"🚨 High Value Debit (₹"&amp;TEXT(D222,"#,##0")&amp;")",IF(D222&gt;=1000,"⚡ Notable Expense","—"))</f>
        <v/>
      </c>
    </row>
    <row r="223">
      <c r="A223" s="39" t="inlineStr"/>
      <c r="B223" s="39" t="inlineStr"/>
      <c r="C223" s="39" t="inlineStr"/>
      <c r="D223" s="41" t="inlineStr"/>
      <c r="E223" s="41" t="inlineStr"/>
      <c r="F223" s="41" t="inlineStr"/>
      <c r="G223" s="39" t="inlineStr"/>
      <c r="H223" s="26">
        <f>IF(C223="","",IF(E223&gt;0,"INCOME",IF(D223&gt;0,"EXPENSE","NEUTRAL")))</f>
        <v/>
      </c>
      <c r="I223" s="39">
        <f>IF(C223="","",=IF(OR(ISNUMBER(SEARCH("STIPEND",C223)),ISNUMBER(SEARCH("SIGMASOFT",C223)),ISNUMBER(SEARCH("SALARY",C223))),"Internship Stipend",IF(OR(ISNUMBER(SEARCH("FAMILY",C223)),ISNUMBER(SEARCH("PAPA",C223)),ISNUMBER(SEARCH("MOM",C223)),ISNUMBER(SEARCH("FATHER",C223))),"Family Support",IF(OR(ISNUMBER(SEARCH("PG",C223)),ISNUMBER(SEARCH("RENT",C223)),ISNUMBER(SEARCH("STANZA",C223)),ISNUMBER(SEARCH("ZOLO",C223))),"PG Rent &amp; Covered Meals",IF(OR(ISNUMBER(SEARCH("GROWW",C223)),ISNUMBER(SEARCH("ZERODHA",C223)),ISNUMBER(SEARCH("MUTUAL",C223)),ISNUMBER(SEARCH("SIP",C223)),ISNUMBER(SEARCH("NIPPON",C223))),"Monthly SIP Investment",IF(OR(ISNUMBER(SEARCH("BMTC",C223)),ISNUMBER(SEARCH("BUS",C223)),ISNUMBER(SEARCH("METRO",C223)),ISNUMBER(SEARCH("CHALO",C223))),"BMTC Bus Commute",IF(OR(ISNUMBER(SEARCH("SWIGGY",C223)),ISNUMBER(SEARCH("ZOMATO",C223)),ISNUMBER(SEARCH("CANTEEN",C223)),ISNUMBER(SEARCH("LUNCH",C223)),ISNUMBER(SEARCH("FOOD",C223)),ISNUMBER(SEARCH("SUBWAY",C223))),"Daily Office Lunch (Mon–Sat)",IF(OR(ISNUMBER(SEARCH("BLINKIT",C223)),ISNUMBER(SEARCH("ZEPTO",C223)),ISNUMBER(SEARCH("RECHARGE",C223)),ISNUMBER(SEARCH("JIO",C223)),ISNUMBER(SEARCH("AIRTEL",C223)),ISNUMBER(SEARCH("PHARMACY",C223)),ISNUMBER(SEARCH("APOLLO",C223)),ISNUMBER(SEARCH("ESSENTIALS",C223)),ISNUMBER(SEARCH("LIFESTYLE",C223))),"Lifestyle &amp; Personal Essentials",IF(OR(ISNUMBER(SEARCH("EMERGENCY",C223)),ISNUMBER(SEARCH("SWEEP",C223)),ISNUMBER(SEARCH("RESERVE",C223))),"Emergency Fund Allocation","Unallocated Flex Buffer")))))))))</f>
        <v/>
      </c>
      <c r="J223" s="39" t="inlineStr"/>
      <c r="K223" s="23">
        <f>IF(C223="","",IF(J223&lt;&gt;"",J223,I223))</f>
        <v/>
      </c>
      <c r="L223" s="40">
        <f>IF(A223="","",IF(ISNUMBER(A223),TEXT(A223,"mmm-yyyy"),"Oct-2026"))</f>
        <v/>
      </c>
      <c r="M223" s="40">
        <f>IF(D223&gt;=5000,"🚨 High Value Debit (₹"&amp;TEXT(D223,"#,##0")&amp;")",IF(D223&gt;=1000,"⚡ Notable Expense","—"))</f>
        <v/>
      </c>
    </row>
    <row r="224">
      <c r="A224" s="39" t="inlineStr"/>
      <c r="B224" s="39" t="inlineStr"/>
      <c r="C224" s="39" t="inlineStr"/>
      <c r="D224" s="41" t="inlineStr"/>
      <c r="E224" s="41" t="inlineStr"/>
      <c r="F224" s="41" t="inlineStr"/>
      <c r="G224" s="39" t="inlineStr"/>
      <c r="H224" s="26">
        <f>IF(C224="","",IF(E224&gt;0,"INCOME",IF(D224&gt;0,"EXPENSE","NEUTRAL")))</f>
        <v/>
      </c>
      <c r="I224" s="39">
        <f>IF(C224="","",=IF(OR(ISNUMBER(SEARCH("STIPEND",C224)),ISNUMBER(SEARCH("SIGMASOFT",C224)),ISNUMBER(SEARCH("SALARY",C224))),"Internship Stipend",IF(OR(ISNUMBER(SEARCH("FAMILY",C224)),ISNUMBER(SEARCH("PAPA",C224)),ISNUMBER(SEARCH("MOM",C224)),ISNUMBER(SEARCH("FATHER",C224))),"Family Support",IF(OR(ISNUMBER(SEARCH("PG",C224)),ISNUMBER(SEARCH("RENT",C224)),ISNUMBER(SEARCH("STANZA",C224)),ISNUMBER(SEARCH("ZOLO",C224))),"PG Rent &amp; Covered Meals",IF(OR(ISNUMBER(SEARCH("GROWW",C224)),ISNUMBER(SEARCH("ZERODHA",C224)),ISNUMBER(SEARCH("MUTUAL",C224)),ISNUMBER(SEARCH("SIP",C224)),ISNUMBER(SEARCH("NIPPON",C224))),"Monthly SIP Investment",IF(OR(ISNUMBER(SEARCH("BMTC",C224)),ISNUMBER(SEARCH("BUS",C224)),ISNUMBER(SEARCH("METRO",C224)),ISNUMBER(SEARCH("CHALO",C224))),"BMTC Bus Commute",IF(OR(ISNUMBER(SEARCH("SWIGGY",C224)),ISNUMBER(SEARCH("ZOMATO",C224)),ISNUMBER(SEARCH("CANTEEN",C224)),ISNUMBER(SEARCH("LUNCH",C224)),ISNUMBER(SEARCH("FOOD",C224)),ISNUMBER(SEARCH("SUBWAY",C224))),"Daily Office Lunch (Mon–Sat)",IF(OR(ISNUMBER(SEARCH("BLINKIT",C224)),ISNUMBER(SEARCH("ZEPTO",C224)),ISNUMBER(SEARCH("RECHARGE",C224)),ISNUMBER(SEARCH("JIO",C224)),ISNUMBER(SEARCH("AIRTEL",C224)),ISNUMBER(SEARCH("PHARMACY",C224)),ISNUMBER(SEARCH("APOLLO",C224)),ISNUMBER(SEARCH("ESSENTIALS",C224)),ISNUMBER(SEARCH("LIFESTYLE",C224))),"Lifestyle &amp; Personal Essentials",IF(OR(ISNUMBER(SEARCH("EMERGENCY",C224)),ISNUMBER(SEARCH("SWEEP",C224)),ISNUMBER(SEARCH("RESERVE",C224))),"Emergency Fund Allocation","Unallocated Flex Buffer")))))))))</f>
        <v/>
      </c>
      <c r="J224" s="39" t="inlineStr"/>
      <c r="K224" s="23">
        <f>IF(C224="","",IF(J224&lt;&gt;"",J224,I224))</f>
        <v/>
      </c>
      <c r="L224" s="40">
        <f>IF(A224="","",IF(ISNUMBER(A224),TEXT(A224,"mmm-yyyy"),"Oct-2026"))</f>
        <v/>
      </c>
      <c r="M224" s="40">
        <f>IF(D224&gt;=5000,"🚨 High Value Debit (₹"&amp;TEXT(D224,"#,##0")&amp;")",IF(D224&gt;=1000,"⚡ Notable Expense","—"))</f>
        <v/>
      </c>
    </row>
    <row r="225">
      <c r="A225" s="39" t="inlineStr"/>
      <c r="B225" s="39" t="inlineStr"/>
      <c r="C225" s="39" t="inlineStr"/>
      <c r="D225" s="41" t="inlineStr"/>
      <c r="E225" s="41" t="inlineStr"/>
      <c r="F225" s="41" t="inlineStr"/>
      <c r="G225" s="39" t="inlineStr"/>
      <c r="H225" s="26">
        <f>IF(C225="","",IF(E225&gt;0,"INCOME",IF(D225&gt;0,"EXPENSE","NEUTRAL")))</f>
        <v/>
      </c>
      <c r="I225" s="39">
        <f>IF(C225="","",=IF(OR(ISNUMBER(SEARCH("STIPEND",C225)),ISNUMBER(SEARCH("SIGMASOFT",C225)),ISNUMBER(SEARCH("SALARY",C225))),"Internship Stipend",IF(OR(ISNUMBER(SEARCH("FAMILY",C225)),ISNUMBER(SEARCH("PAPA",C225)),ISNUMBER(SEARCH("MOM",C225)),ISNUMBER(SEARCH("FATHER",C225))),"Family Support",IF(OR(ISNUMBER(SEARCH("PG",C225)),ISNUMBER(SEARCH("RENT",C225)),ISNUMBER(SEARCH("STANZA",C225)),ISNUMBER(SEARCH("ZOLO",C225))),"PG Rent &amp; Covered Meals",IF(OR(ISNUMBER(SEARCH("GROWW",C225)),ISNUMBER(SEARCH("ZERODHA",C225)),ISNUMBER(SEARCH("MUTUAL",C225)),ISNUMBER(SEARCH("SIP",C225)),ISNUMBER(SEARCH("NIPPON",C225))),"Monthly SIP Investment",IF(OR(ISNUMBER(SEARCH("BMTC",C225)),ISNUMBER(SEARCH("BUS",C225)),ISNUMBER(SEARCH("METRO",C225)),ISNUMBER(SEARCH("CHALO",C225))),"BMTC Bus Commute",IF(OR(ISNUMBER(SEARCH("SWIGGY",C225)),ISNUMBER(SEARCH("ZOMATO",C225)),ISNUMBER(SEARCH("CANTEEN",C225)),ISNUMBER(SEARCH("LUNCH",C225)),ISNUMBER(SEARCH("FOOD",C225)),ISNUMBER(SEARCH("SUBWAY",C225))),"Daily Office Lunch (Mon–Sat)",IF(OR(ISNUMBER(SEARCH("BLINKIT",C225)),ISNUMBER(SEARCH("ZEPTO",C225)),ISNUMBER(SEARCH("RECHARGE",C225)),ISNUMBER(SEARCH("JIO",C225)),ISNUMBER(SEARCH("AIRTEL",C225)),ISNUMBER(SEARCH("PHARMACY",C225)),ISNUMBER(SEARCH("APOLLO",C225)),ISNUMBER(SEARCH("ESSENTIALS",C225)),ISNUMBER(SEARCH("LIFESTYLE",C225))),"Lifestyle &amp; Personal Essentials",IF(OR(ISNUMBER(SEARCH("EMERGENCY",C225)),ISNUMBER(SEARCH("SWEEP",C225)),ISNUMBER(SEARCH("RESERVE",C225))),"Emergency Fund Allocation","Unallocated Flex Buffer")))))))))</f>
        <v/>
      </c>
      <c r="J225" s="39" t="inlineStr"/>
      <c r="K225" s="23">
        <f>IF(C225="","",IF(J225&lt;&gt;"",J225,I225))</f>
        <v/>
      </c>
      <c r="L225" s="40">
        <f>IF(A225="","",IF(ISNUMBER(A225),TEXT(A225,"mmm-yyyy"),"Oct-2026"))</f>
        <v/>
      </c>
      <c r="M225" s="40">
        <f>IF(D225&gt;=5000,"🚨 High Value Debit (₹"&amp;TEXT(D225,"#,##0")&amp;")",IF(D225&gt;=1000,"⚡ Notable Expense","—"))</f>
        <v/>
      </c>
    </row>
    <row r="226">
      <c r="A226" s="39" t="inlineStr"/>
      <c r="B226" s="39" t="inlineStr"/>
      <c r="C226" s="39" t="inlineStr"/>
      <c r="D226" s="41" t="inlineStr"/>
      <c r="E226" s="41" t="inlineStr"/>
      <c r="F226" s="41" t="inlineStr"/>
      <c r="G226" s="39" t="inlineStr"/>
      <c r="H226" s="26">
        <f>IF(C226="","",IF(E226&gt;0,"INCOME",IF(D226&gt;0,"EXPENSE","NEUTRAL")))</f>
        <v/>
      </c>
      <c r="I226" s="39">
        <f>IF(C226="","",=IF(OR(ISNUMBER(SEARCH("STIPEND",C226)),ISNUMBER(SEARCH("SIGMASOFT",C226)),ISNUMBER(SEARCH("SALARY",C226))),"Internship Stipend",IF(OR(ISNUMBER(SEARCH("FAMILY",C226)),ISNUMBER(SEARCH("PAPA",C226)),ISNUMBER(SEARCH("MOM",C226)),ISNUMBER(SEARCH("FATHER",C226))),"Family Support",IF(OR(ISNUMBER(SEARCH("PG",C226)),ISNUMBER(SEARCH("RENT",C226)),ISNUMBER(SEARCH("STANZA",C226)),ISNUMBER(SEARCH("ZOLO",C226))),"PG Rent &amp; Covered Meals",IF(OR(ISNUMBER(SEARCH("GROWW",C226)),ISNUMBER(SEARCH("ZERODHA",C226)),ISNUMBER(SEARCH("MUTUAL",C226)),ISNUMBER(SEARCH("SIP",C226)),ISNUMBER(SEARCH("NIPPON",C226))),"Monthly SIP Investment",IF(OR(ISNUMBER(SEARCH("BMTC",C226)),ISNUMBER(SEARCH("BUS",C226)),ISNUMBER(SEARCH("METRO",C226)),ISNUMBER(SEARCH("CHALO",C226))),"BMTC Bus Commute",IF(OR(ISNUMBER(SEARCH("SWIGGY",C226)),ISNUMBER(SEARCH("ZOMATO",C226)),ISNUMBER(SEARCH("CANTEEN",C226)),ISNUMBER(SEARCH("LUNCH",C226)),ISNUMBER(SEARCH("FOOD",C226)),ISNUMBER(SEARCH("SUBWAY",C226))),"Daily Office Lunch (Mon–Sat)",IF(OR(ISNUMBER(SEARCH("BLINKIT",C226)),ISNUMBER(SEARCH("ZEPTO",C226)),ISNUMBER(SEARCH("RECHARGE",C226)),ISNUMBER(SEARCH("JIO",C226)),ISNUMBER(SEARCH("AIRTEL",C226)),ISNUMBER(SEARCH("PHARMACY",C226)),ISNUMBER(SEARCH("APOLLO",C226)),ISNUMBER(SEARCH("ESSENTIALS",C226)),ISNUMBER(SEARCH("LIFESTYLE",C226))),"Lifestyle &amp; Personal Essentials",IF(OR(ISNUMBER(SEARCH("EMERGENCY",C226)),ISNUMBER(SEARCH("SWEEP",C226)),ISNUMBER(SEARCH("RESERVE",C226))),"Emergency Fund Allocation","Unallocated Flex Buffer")))))))))</f>
        <v/>
      </c>
      <c r="J226" s="39" t="inlineStr"/>
      <c r="K226" s="23">
        <f>IF(C226="","",IF(J226&lt;&gt;"",J226,I226))</f>
        <v/>
      </c>
      <c r="L226" s="40">
        <f>IF(A226="","",IF(ISNUMBER(A226),TEXT(A226,"mmm-yyyy"),"Oct-2026"))</f>
        <v/>
      </c>
      <c r="M226" s="40">
        <f>IF(D226&gt;=5000,"🚨 High Value Debit (₹"&amp;TEXT(D226,"#,##0")&amp;")",IF(D226&gt;=1000,"⚡ Notable Expense","—"))</f>
        <v/>
      </c>
    </row>
    <row r="227">
      <c r="A227" s="39" t="inlineStr"/>
      <c r="B227" s="39" t="inlineStr"/>
      <c r="C227" s="39" t="inlineStr"/>
      <c r="D227" s="41" t="inlineStr"/>
      <c r="E227" s="41" t="inlineStr"/>
      <c r="F227" s="41" t="inlineStr"/>
      <c r="G227" s="39" t="inlineStr"/>
      <c r="H227" s="26">
        <f>IF(C227="","",IF(E227&gt;0,"INCOME",IF(D227&gt;0,"EXPENSE","NEUTRAL")))</f>
        <v/>
      </c>
      <c r="I227" s="39">
        <f>IF(C227="","",=IF(OR(ISNUMBER(SEARCH("STIPEND",C227)),ISNUMBER(SEARCH("SIGMASOFT",C227)),ISNUMBER(SEARCH("SALARY",C227))),"Internship Stipend",IF(OR(ISNUMBER(SEARCH("FAMILY",C227)),ISNUMBER(SEARCH("PAPA",C227)),ISNUMBER(SEARCH("MOM",C227)),ISNUMBER(SEARCH("FATHER",C227))),"Family Support",IF(OR(ISNUMBER(SEARCH("PG",C227)),ISNUMBER(SEARCH("RENT",C227)),ISNUMBER(SEARCH("STANZA",C227)),ISNUMBER(SEARCH("ZOLO",C227))),"PG Rent &amp; Covered Meals",IF(OR(ISNUMBER(SEARCH("GROWW",C227)),ISNUMBER(SEARCH("ZERODHA",C227)),ISNUMBER(SEARCH("MUTUAL",C227)),ISNUMBER(SEARCH("SIP",C227)),ISNUMBER(SEARCH("NIPPON",C227))),"Monthly SIP Investment",IF(OR(ISNUMBER(SEARCH("BMTC",C227)),ISNUMBER(SEARCH("BUS",C227)),ISNUMBER(SEARCH("METRO",C227)),ISNUMBER(SEARCH("CHALO",C227))),"BMTC Bus Commute",IF(OR(ISNUMBER(SEARCH("SWIGGY",C227)),ISNUMBER(SEARCH("ZOMATO",C227)),ISNUMBER(SEARCH("CANTEEN",C227)),ISNUMBER(SEARCH("LUNCH",C227)),ISNUMBER(SEARCH("FOOD",C227)),ISNUMBER(SEARCH("SUBWAY",C227))),"Daily Office Lunch (Mon–Sat)",IF(OR(ISNUMBER(SEARCH("BLINKIT",C227)),ISNUMBER(SEARCH("ZEPTO",C227)),ISNUMBER(SEARCH("RECHARGE",C227)),ISNUMBER(SEARCH("JIO",C227)),ISNUMBER(SEARCH("AIRTEL",C227)),ISNUMBER(SEARCH("PHARMACY",C227)),ISNUMBER(SEARCH("APOLLO",C227)),ISNUMBER(SEARCH("ESSENTIALS",C227)),ISNUMBER(SEARCH("LIFESTYLE",C227))),"Lifestyle &amp; Personal Essentials",IF(OR(ISNUMBER(SEARCH("EMERGENCY",C227)),ISNUMBER(SEARCH("SWEEP",C227)),ISNUMBER(SEARCH("RESERVE",C227))),"Emergency Fund Allocation","Unallocated Flex Buffer")))))))))</f>
        <v/>
      </c>
      <c r="J227" s="39" t="inlineStr"/>
      <c r="K227" s="23">
        <f>IF(C227="","",IF(J227&lt;&gt;"",J227,I227))</f>
        <v/>
      </c>
      <c r="L227" s="40">
        <f>IF(A227="","",IF(ISNUMBER(A227),TEXT(A227,"mmm-yyyy"),"Oct-2026"))</f>
        <v/>
      </c>
      <c r="M227" s="40">
        <f>IF(D227&gt;=5000,"🚨 High Value Debit (₹"&amp;TEXT(D227,"#,##0")&amp;")",IF(D227&gt;=1000,"⚡ Notable Expense","—"))</f>
        <v/>
      </c>
    </row>
    <row r="228">
      <c r="A228" s="39" t="inlineStr"/>
      <c r="B228" s="39" t="inlineStr"/>
      <c r="C228" s="39" t="inlineStr"/>
      <c r="D228" s="41" t="inlineStr"/>
      <c r="E228" s="41" t="inlineStr"/>
      <c r="F228" s="41" t="inlineStr"/>
      <c r="G228" s="39" t="inlineStr"/>
      <c r="H228" s="26">
        <f>IF(C228="","",IF(E228&gt;0,"INCOME",IF(D228&gt;0,"EXPENSE","NEUTRAL")))</f>
        <v/>
      </c>
      <c r="I228" s="39">
        <f>IF(C228="","",=IF(OR(ISNUMBER(SEARCH("STIPEND",C228)),ISNUMBER(SEARCH("SIGMASOFT",C228)),ISNUMBER(SEARCH("SALARY",C228))),"Internship Stipend",IF(OR(ISNUMBER(SEARCH("FAMILY",C228)),ISNUMBER(SEARCH("PAPA",C228)),ISNUMBER(SEARCH("MOM",C228)),ISNUMBER(SEARCH("FATHER",C228))),"Family Support",IF(OR(ISNUMBER(SEARCH("PG",C228)),ISNUMBER(SEARCH("RENT",C228)),ISNUMBER(SEARCH("STANZA",C228)),ISNUMBER(SEARCH("ZOLO",C228))),"PG Rent &amp; Covered Meals",IF(OR(ISNUMBER(SEARCH("GROWW",C228)),ISNUMBER(SEARCH("ZERODHA",C228)),ISNUMBER(SEARCH("MUTUAL",C228)),ISNUMBER(SEARCH("SIP",C228)),ISNUMBER(SEARCH("NIPPON",C228))),"Monthly SIP Investment",IF(OR(ISNUMBER(SEARCH("BMTC",C228)),ISNUMBER(SEARCH("BUS",C228)),ISNUMBER(SEARCH("METRO",C228)),ISNUMBER(SEARCH("CHALO",C228))),"BMTC Bus Commute",IF(OR(ISNUMBER(SEARCH("SWIGGY",C228)),ISNUMBER(SEARCH("ZOMATO",C228)),ISNUMBER(SEARCH("CANTEEN",C228)),ISNUMBER(SEARCH("LUNCH",C228)),ISNUMBER(SEARCH("FOOD",C228)),ISNUMBER(SEARCH("SUBWAY",C228))),"Daily Office Lunch (Mon–Sat)",IF(OR(ISNUMBER(SEARCH("BLINKIT",C228)),ISNUMBER(SEARCH("ZEPTO",C228)),ISNUMBER(SEARCH("RECHARGE",C228)),ISNUMBER(SEARCH("JIO",C228)),ISNUMBER(SEARCH("AIRTEL",C228)),ISNUMBER(SEARCH("PHARMACY",C228)),ISNUMBER(SEARCH("APOLLO",C228)),ISNUMBER(SEARCH("ESSENTIALS",C228)),ISNUMBER(SEARCH("LIFESTYLE",C228))),"Lifestyle &amp; Personal Essentials",IF(OR(ISNUMBER(SEARCH("EMERGENCY",C228)),ISNUMBER(SEARCH("SWEEP",C228)),ISNUMBER(SEARCH("RESERVE",C228))),"Emergency Fund Allocation","Unallocated Flex Buffer")))))))))</f>
        <v/>
      </c>
      <c r="J228" s="39" t="inlineStr"/>
      <c r="K228" s="23">
        <f>IF(C228="","",IF(J228&lt;&gt;"",J228,I228))</f>
        <v/>
      </c>
      <c r="L228" s="40">
        <f>IF(A228="","",IF(ISNUMBER(A228),TEXT(A228,"mmm-yyyy"),"Oct-2026"))</f>
        <v/>
      </c>
      <c r="M228" s="40">
        <f>IF(D228&gt;=5000,"🚨 High Value Debit (₹"&amp;TEXT(D228,"#,##0")&amp;")",IF(D228&gt;=1000,"⚡ Notable Expense","—"))</f>
        <v/>
      </c>
    </row>
    <row r="229">
      <c r="A229" s="39" t="inlineStr"/>
      <c r="B229" s="39" t="inlineStr"/>
      <c r="C229" s="39" t="inlineStr"/>
      <c r="D229" s="41" t="inlineStr"/>
      <c r="E229" s="41" t="inlineStr"/>
      <c r="F229" s="41" t="inlineStr"/>
      <c r="G229" s="39" t="inlineStr"/>
      <c r="H229" s="26">
        <f>IF(C229="","",IF(E229&gt;0,"INCOME",IF(D229&gt;0,"EXPENSE","NEUTRAL")))</f>
        <v/>
      </c>
      <c r="I229" s="39">
        <f>IF(C229="","",=IF(OR(ISNUMBER(SEARCH("STIPEND",C229)),ISNUMBER(SEARCH("SIGMASOFT",C229)),ISNUMBER(SEARCH("SALARY",C229))),"Internship Stipend",IF(OR(ISNUMBER(SEARCH("FAMILY",C229)),ISNUMBER(SEARCH("PAPA",C229)),ISNUMBER(SEARCH("MOM",C229)),ISNUMBER(SEARCH("FATHER",C229))),"Family Support",IF(OR(ISNUMBER(SEARCH("PG",C229)),ISNUMBER(SEARCH("RENT",C229)),ISNUMBER(SEARCH("STANZA",C229)),ISNUMBER(SEARCH("ZOLO",C229))),"PG Rent &amp; Covered Meals",IF(OR(ISNUMBER(SEARCH("GROWW",C229)),ISNUMBER(SEARCH("ZERODHA",C229)),ISNUMBER(SEARCH("MUTUAL",C229)),ISNUMBER(SEARCH("SIP",C229)),ISNUMBER(SEARCH("NIPPON",C229))),"Monthly SIP Investment",IF(OR(ISNUMBER(SEARCH("BMTC",C229)),ISNUMBER(SEARCH("BUS",C229)),ISNUMBER(SEARCH("METRO",C229)),ISNUMBER(SEARCH("CHALO",C229))),"BMTC Bus Commute",IF(OR(ISNUMBER(SEARCH("SWIGGY",C229)),ISNUMBER(SEARCH("ZOMATO",C229)),ISNUMBER(SEARCH("CANTEEN",C229)),ISNUMBER(SEARCH("LUNCH",C229)),ISNUMBER(SEARCH("FOOD",C229)),ISNUMBER(SEARCH("SUBWAY",C229))),"Daily Office Lunch (Mon–Sat)",IF(OR(ISNUMBER(SEARCH("BLINKIT",C229)),ISNUMBER(SEARCH("ZEPTO",C229)),ISNUMBER(SEARCH("RECHARGE",C229)),ISNUMBER(SEARCH("JIO",C229)),ISNUMBER(SEARCH("AIRTEL",C229)),ISNUMBER(SEARCH("PHARMACY",C229)),ISNUMBER(SEARCH("APOLLO",C229)),ISNUMBER(SEARCH("ESSENTIALS",C229)),ISNUMBER(SEARCH("LIFESTYLE",C229))),"Lifestyle &amp; Personal Essentials",IF(OR(ISNUMBER(SEARCH("EMERGENCY",C229)),ISNUMBER(SEARCH("SWEEP",C229)),ISNUMBER(SEARCH("RESERVE",C229))),"Emergency Fund Allocation","Unallocated Flex Buffer")))))))))</f>
        <v/>
      </c>
      <c r="J229" s="39" t="inlineStr"/>
      <c r="K229" s="23">
        <f>IF(C229="","",IF(J229&lt;&gt;"",J229,I229))</f>
        <v/>
      </c>
      <c r="L229" s="40">
        <f>IF(A229="","",IF(ISNUMBER(A229),TEXT(A229,"mmm-yyyy"),"Oct-2026"))</f>
        <v/>
      </c>
      <c r="M229" s="40">
        <f>IF(D229&gt;=5000,"🚨 High Value Debit (₹"&amp;TEXT(D229,"#,##0")&amp;")",IF(D229&gt;=1000,"⚡ Notable Expense","—"))</f>
        <v/>
      </c>
    </row>
    <row r="230">
      <c r="A230" s="39" t="inlineStr"/>
      <c r="B230" s="39" t="inlineStr"/>
      <c r="C230" s="39" t="inlineStr"/>
      <c r="D230" s="41" t="inlineStr"/>
      <c r="E230" s="41" t="inlineStr"/>
      <c r="F230" s="41" t="inlineStr"/>
      <c r="G230" s="39" t="inlineStr"/>
      <c r="H230" s="26">
        <f>IF(C230="","",IF(E230&gt;0,"INCOME",IF(D230&gt;0,"EXPENSE","NEUTRAL")))</f>
        <v/>
      </c>
      <c r="I230" s="39">
        <f>IF(C230="","",=IF(OR(ISNUMBER(SEARCH("STIPEND",C230)),ISNUMBER(SEARCH("SIGMASOFT",C230)),ISNUMBER(SEARCH("SALARY",C230))),"Internship Stipend",IF(OR(ISNUMBER(SEARCH("FAMILY",C230)),ISNUMBER(SEARCH("PAPA",C230)),ISNUMBER(SEARCH("MOM",C230)),ISNUMBER(SEARCH("FATHER",C230))),"Family Support",IF(OR(ISNUMBER(SEARCH("PG",C230)),ISNUMBER(SEARCH("RENT",C230)),ISNUMBER(SEARCH("STANZA",C230)),ISNUMBER(SEARCH("ZOLO",C230))),"PG Rent &amp; Covered Meals",IF(OR(ISNUMBER(SEARCH("GROWW",C230)),ISNUMBER(SEARCH("ZERODHA",C230)),ISNUMBER(SEARCH("MUTUAL",C230)),ISNUMBER(SEARCH("SIP",C230)),ISNUMBER(SEARCH("NIPPON",C230))),"Monthly SIP Investment",IF(OR(ISNUMBER(SEARCH("BMTC",C230)),ISNUMBER(SEARCH("BUS",C230)),ISNUMBER(SEARCH("METRO",C230)),ISNUMBER(SEARCH("CHALO",C230))),"BMTC Bus Commute",IF(OR(ISNUMBER(SEARCH("SWIGGY",C230)),ISNUMBER(SEARCH("ZOMATO",C230)),ISNUMBER(SEARCH("CANTEEN",C230)),ISNUMBER(SEARCH("LUNCH",C230)),ISNUMBER(SEARCH("FOOD",C230)),ISNUMBER(SEARCH("SUBWAY",C230))),"Daily Office Lunch (Mon–Sat)",IF(OR(ISNUMBER(SEARCH("BLINKIT",C230)),ISNUMBER(SEARCH("ZEPTO",C230)),ISNUMBER(SEARCH("RECHARGE",C230)),ISNUMBER(SEARCH("JIO",C230)),ISNUMBER(SEARCH("AIRTEL",C230)),ISNUMBER(SEARCH("PHARMACY",C230)),ISNUMBER(SEARCH("APOLLO",C230)),ISNUMBER(SEARCH("ESSENTIALS",C230)),ISNUMBER(SEARCH("LIFESTYLE",C230))),"Lifestyle &amp; Personal Essentials",IF(OR(ISNUMBER(SEARCH("EMERGENCY",C230)),ISNUMBER(SEARCH("SWEEP",C230)),ISNUMBER(SEARCH("RESERVE",C230))),"Emergency Fund Allocation","Unallocated Flex Buffer")))))))))</f>
        <v/>
      </c>
      <c r="J230" s="39" t="inlineStr"/>
      <c r="K230" s="23">
        <f>IF(C230="","",IF(J230&lt;&gt;"",J230,I230))</f>
        <v/>
      </c>
      <c r="L230" s="40">
        <f>IF(A230="","",IF(ISNUMBER(A230),TEXT(A230,"mmm-yyyy"),"Oct-2026"))</f>
        <v/>
      </c>
      <c r="M230" s="40">
        <f>IF(D230&gt;=5000,"🚨 High Value Debit (₹"&amp;TEXT(D230,"#,##0")&amp;")",IF(D230&gt;=1000,"⚡ Notable Expense","—"))</f>
        <v/>
      </c>
    </row>
    <row r="231">
      <c r="A231" s="39" t="inlineStr"/>
      <c r="B231" s="39" t="inlineStr"/>
      <c r="C231" s="39" t="inlineStr"/>
      <c r="D231" s="41" t="inlineStr"/>
      <c r="E231" s="41" t="inlineStr"/>
      <c r="F231" s="41" t="inlineStr"/>
      <c r="G231" s="39" t="inlineStr"/>
      <c r="H231" s="26">
        <f>IF(C231="","",IF(E231&gt;0,"INCOME",IF(D231&gt;0,"EXPENSE","NEUTRAL")))</f>
        <v/>
      </c>
      <c r="I231" s="39">
        <f>IF(C231="","",=IF(OR(ISNUMBER(SEARCH("STIPEND",C231)),ISNUMBER(SEARCH("SIGMASOFT",C231)),ISNUMBER(SEARCH("SALARY",C231))),"Internship Stipend",IF(OR(ISNUMBER(SEARCH("FAMILY",C231)),ISNUMBER(SEARCH("PAPA",C231)),ISNUMBER(SEARCH("MOM",C231)),ISNUMBER(SEARCH("FATHER",C231))),"Family Support",IF(OR(ISNUMBER(SEARCH("PG",C231)),ISNUMBER(SEARCH("RENT",C231)),ISNUMBER(SEARCH("STANZA",C231)),ISNUMBER(SEARCH("ZOLO",C231))),"PG Rent &amp; Covered Meals",IF(OR(ISNUMBER(SEARCH("GROWW",C231)),ISNUMBER(SEARCH("ZERODHA",C231)),ISNUMBER(SEARCH("MUTUAL",C231)),ISNUMBER(SEARCH("SIP",C231)),ISNUMBER(SEARCH("NIPPON",C231))),"Monthly SIP Investment",IF(OR(ISNUMBER(SEARCH("BMTC",C231)),ISNUMBER(SEARCH("BUS",C231)),ISNUMBER(SEARCH("METRO",C231)),ISNUMBER(SEARCH("CHALO",C231))),"BMTC Bus Commute",IF(OR(ISNUMBER(SEARCH("SWIGGY",C231)),ISNUMBER(SEARCH("ZOMATO",C231)),ISNUMBER(SEARCH("CANTEEN",C231)),ISNUMBER(SEARCH("LUNCH",C231)),ISNUMBER(SEARCH("FOOD",C231)),ISNUMBER(SEARCH("SUBWAY",C231))),"Daily Office Lunch (Mon–Sat)",IF(OR(ISNUMBER(SEARCH("BLINKIT",C231)),ISNUMBER(SEARCH("ZEPTO",C231)),ISNUMBER(SEARCH("RECHARGE",C231)),ISNUMBER(SEARCH("JIO",C231)),ISNUMBER(SEARCH("AIRTEL",C231)),ISNUMBER(SEARCH("PHARMACY",C231)),ISNUMBER(SEARCH("APOLLO",C231)),ISNUMBER(SEARCH("ESSENTIALS",C231)),ISNUMBER(SEARCH("LIFESTYLE",C231))),"Lifestyle &amp; Personal Essentials",IF(OR(ISNUMBER(SEARCH("EMERGENCY",C231)),ISNUMBER(SEARCH("SWEEP",C231)),ISNUMBER(SEARCH("RESERVE",C231))),"Emergency Fund Allocation","Unallocated Flex Buffer")))))))))</f>
        <v/>
      </c>
      <c r="J231" s="39" t="inlineStr"/>
      <c r="K231" s="23">
        <f>IF(C231="","",IF(J231&lt;&gt;"",J231,I231))</f>
        <v/>
      </c>
      <c r="L231" s="40">
        <f>IF(A231="","",IF(ISNUMBER(A231),TEXT(A231,"mmm-yyyy"),"Oct-2026"))</f>
        <v/>
      </c>
      <c r="M231" s="40">
        <f>IF(D231&gt;=5000,"🚨 High Value Debit (₹"&amp;TEXT(D231,"#,##0")&amp;")",IF(D231&gt;=1000,"⚡ Notable Expense","—"))</f>
        <v/>
      </c>
    </row>
    <row r="232">
      <c r="A232" s="39" t="inlineStr"/>
      <c r="B232" s="39" t="inlineStr"/>
      <c r="C232" s="39" t="inlineStr"/>
      <c r="D232" s="41" t="inlineStr"/>
      <c r="E232" s="41" t="inlineStr"/>
      <c r="F232" s="41" t="inlineStr"/>
      <c r="G232" s="39" t="inlineStr"/>
      <c r="H232" s="26">
        <f>IF(C232="","",IF(E232&gt;0,"INCOME",IF(D232&gt;0,"EXPENSE","NEUTRAL")))</f>
        <v/>
      </c>
      <c r="I232" s="39">
        <f>IF(C232="","",=IF(OR(ISNUMBER(SEARCH("STIPEND",C232)),ISNUMBER(SEARCH("SIGMASOFT",C232)),ISNUMBER(SEARCH("SALARY",C232))),"Internship Stipend",IF(OR(ISNUMBER(SEARCH("FAMILY",C232)),ISNUMBER(SEARCH("PAPA",C232)),ISNUMBER(SEARCH("MOM",C232)),ISNUMBER(SEARCH("FATHER",C232))),"Family Support",IF(OR(ISNUMBER(SEARCH("PG",C232)),ISNUMBER(SEARCH("RENT",C232)),ISNUMBER(SEARCH("STANZA",C232)),ISNUMBER(SEARCH("ZOLO",C232))),"PG Rent &amp; Covered Meals",IF(OR(ISNUMBER(SEARCH("GROWW",C232)),ISNUMBER(SEARCH("ZERODHA",C232)),ISNUMBER(SEARCH("MUTUAL",C232)),ISNUMBER(SEARCH("SIP",C232)),ISNUMBER(SEARCH("NIPPON",C232))),"Monthly SIP Investment",IF(OR(ISNUMBER(SEARCH("BMTC",C232)),ISNUMBER(SEARCH("BUS",C232)),ISNUMBER(SEARCH("METRO",C232)),ISNUMBER(SEARCH("CHALO",C232))),"BMTC Bus Commute",IF(OR(ISNUMBER(SEARCH("SWIGGY",C232)),ISNUMBER(SEARCH("ZOMATO",C232)),ISNUMBER(SEARCH("CANTEEN",C232)),ISNUMBER(SEARCH("LUNCH",C232)),ISNUMBER(SEARCH("FOOD",C232)),ISNUMBER(SEARCH("SUBWAY",C232))),"Daily Office Lunch (Mon–Sat)",IF(OR(ISNUMBER(SEARCH("BLINKIT",C232)),ISNUMBER(SEARCH("ZEPTO",C232)),ISNUMBER(SEARCH("RECHARGE",C232)),ISNUMBER(SEARCH("JIO",C232)),ISNUMBER(SEARCH("AIRTEL",C232)),ISNUMBER(SEARCH("PHARMACY",C232)),ISNUMBER(SEARCH("APOLLO",C232)),ISNUMBER(SEARCH("ESSENTIALS",C232)),ISNUMBER(SEARCH("LIFESTYLE",C232))),"Lifestyle &amp; Personal Essentials",IF(OR(ISNUMBER(SEARCH("EMERGENCY",C232)),ISNUMBER(SEARCH("SWEEP",C232)),ISNUMBER(SEARCH("RESERVE",C232))),"Emergency Fund Allocation","Unallocated Flex Buffer")))))))))</f>
        <v/>
      </c>
      <c r="J232" s="39" t="inlineStr"/>
      <c r="K232" s="23">
        <f>IF(C232="","",IF(J232&lt;&gt;"",J232,I232))</f>
        <v/>
      </c>
      <c r="L232" s="40">
        <f>IF(A232="","",IF(ISNUMBER(A232),TEXT(A232,"mmm-yyyy"),"Oct-2026"))</f>
        <v/>
      </c>
      <c r="M232" s="40">
        <f>IF(D232&gt;=5000,"🚨 High Value Debit (₹"&amp;TEXT(D232,"#,##0")&amp;")",IF(D232&gt;=1000,"⚡ Notable Expense","—"))</f>
        <v/>
      </c>
    </row>
    <row r="233">
      <c r="A233" s="39" t="inlineStr"/>
      <c r="B233" s="39" t="inlineStr"/>
      <c r="C233" s="39" t="inlineStr"/>
      <c r="D233" s="41" t="inlineStr"/>
      <c r="E233" s="41" t="inlineStr"/>
      <c r="F233" s="41" t="inlineStr"/>
      <c r="G233" s="39" t="inlineStr"/>
      <c r="H233" s="26">
        <f>IF(C233="","",IF(E233&gt;0,"INCOME",IF(D233&gt;0,"EXPENSE","NEUTRAL")))</f>
        <v/>
      </c>
      <c r="I233" s="39">
        <f>IF(C233="","",=IF(OR(ISNUMBER(SEARCH("STIPEND",C233)),ISNUMBER(SEARCH("SIGMASOFT",C233)),ISNUMBER(SEARCH("SALARY",C233))),"Internship Stipend",IF(OR(ISNUMBER(SEARCH("FAMILY",C233)),ISNUMBER(SEARCH("PAPA",C233)),ISNUMBER(SEARCH("MOM",C233)),ISNUMBER(SEARCH("FATHER",C233))),"Family Support",IF(OR(ISNUMBER(SEARCH("PG",C233)),ISNUMBER(SEARCH("RENT",C233)),ISNUMBER(SEARCH("STANZA",C233)),ISNUMBER(SEARCH("ZOLO",C233))),"PG Rent &amp; Covered Meals",IF(OR(ISNUMBER(SEARCH("GROWW",C233)),ISNUMBER(SEARCH("ZERODHA",C233)),ISNUMBER(SEARCH("MUTUAL",C233)),ISNUMBER(SEARCH("SIP",C233)),ISNUMBER(SEARCH("NIPPON",C233))),"Monthly SIP Investment",IF(OR(ISNUMBER(SEARCH("BMTC",C233)),ISNUMBER(SEARCH("BUS",C233)),ISNUMBER(SEARCH("METRO",C233)),ISNUMBER(SEARCH("CHALO",C233))),"BMTC Bus Commute",IF(OR(ISNUMBER(SEARCH("SWIGGY",C233)),ISNUMBER(SEARCH("ZOMATO",C233)),ISNUMBER(SEARCH("CANTEEN",C233)),ISNUMBER(SEARCH("LUNCH",C233)),ISNUMBER(SEARCH("FOOD",C233)),ISNUMBER(SEARCH("SUBWAY",C233))),"Daily Office Lunch (Mon–Sat)",IF(OR(ISNUMBER(SEARCH("BLINKIT",C233)),ISNUMBER(SEARCH("ZEPTO",C233)),ISNUMBER(SEARCH("RECHARGE",C233)),ISNUMBER(SEARCH("JIO",C233)),ISNUMBER(SEARCH("AIRTEL",C233)),ISNUMBER(SEARCH("PHARMACY",C233)),ISNUMBER(SEARCH("APOLLO",C233)),ISNUMBER(SEARCH("ESSENTIALS",C233)),ISNUMBER(SEARCH("LIFESTYLE",C233))),"Lifestyle &amp; Personal Essentials",IF(OR(ISNUMBER(SEARCH("EMERGENCY",C233)),ISNUMBER(SEARCH("SWEEP",C233)),ISNUMBER(SEARCH("RESERVE",C233))),"Emergency Fund Allocation","Unallocated Flex Buffer")))))))))</f>
        <v/>
      </c>
      <c r="J233" s="39" t="inlineStr"/>
      <c r="K233" s="23">
        <f>IF(C233="","",IF(J233&lt;&gt;"",J233,I233))</f>
        <v/>
      </c>
      <c r="L233" s="40">
        <f>IF(A233="","",IF(ISNUMBER(A233),TEXT(A233,"mmm-yyyy"),"Oct-2026"))</f>
        <v/>
      </c>
      <c r="M233" s="40">
        <f>IF(D233&gt;=5000,"🚨 High Value Debit (₹"&amp;TEXT(D233,"#,##0")&amp;")",IF(D233&gt;=1000,"⚡ Notable Expense","—"))</f>
        <v/>
      </c>
    </row>
    <row r="234">
      <c r="A234" s="39" t="inlineStr"/>
      <c r="B234" s="39" t="inlineStr"/>
      <c r="C234" s="39" t="inlineStr"/>
      <c r="D234" s="41" t="inlineStr"/>
      <c r="E234" s="41" t="inlineStr"/>
      <c r="F234" s="41" t="inlineStr"/>
      <c r="G234" s="39" t="inlineStr"/>
      <c r="H234" s="26">
        <f>IF(C234="","",IF(E234&gt;0,"INCOME",IF(D234&gt;0,"EXPENSE","NEUTRAL")))</f>
        <v/>
      </c>
      <c r="I234" s="39">
        <f>IF(C234="","",=IF(OR(ISNUMBER(SEARCH("STIPEND",C234)),ISNUMBER(SEARCH("SIGMASOFT",C234)),ISNUMBER(SEARCH("SALARY",C234))),"Internship Stipend",IF(OR(ISNUMBER(SEARCH("FAMILY",C234)),ISNUMBER(SEARCH("PAPA",C234)),ISNUMBER(SEARCH("MOM",C234)),ISNUMBER(SEARCH("FATHER",C234))),"Family Support",IF(OR(ISNUMBER(SEARCH("PG",C234)),ISNUMBER(SEARCH("RENT",C234)),ISNUMBER(SEARCH("STANZA",C234)),ISNUMBER(SEARCH("ZOLO",C234))),"PG Rent &amp; Covered Meals",IF(OR(ISNUMBER(SEARCH("GROWW",C234)),ISNUMBER(SEARCH("ZERODHA",C234)),ISNUMBER(SEARCH("MUTUAL",C234)),ISNUMBER(SEARCH("SIP",C234)),ISNUMBER(SEARCH("NIPPON",C234))),"Monthly SIP Investment",IF(OR(ISNUMBER(SEARCH("BMTC",C234)),ISNUMBER(SEARCH("BUS",C234)),ISNUMBER(SEARCH("METRO",C234)),ISNUMBER(SEARCH("CHALO",C234))),"BMTC Bus Commute",IF(OR(ISNUMBER(SEARCH("SWIGGY",C234)),ISNUMBER(SEARCH("ZOMATO",C234)),ISNUMBER(SEARCH("CANTEEN",C234)),ISNUMBER(SEARCH("LUNCH",C234)),ISNUMBER(SEARCH("FOOD",C234)),ISNUMBER(SEARCH("SUBWAY",C234))),"Daily Office Lunch (Mon–Sat)",IF(OR(ISNUMBER(SEARCH("BLINKIT",C234)),ISNUMBER(SEARCH("ZEPTO",C234)),ISNUMBER(SEARCH("RECHARGE",C234)),ISNUMBER(SEARCH("JIO",C234)),ISNUMBER(SEARCH("AIRTEL",C234)),ISNUMBER(SEARCH("PHARMACY",C234)),ISNUMBER(SEARCH("APOLLO",C234)),ISNUMBER(SEARCH("ESSENTIALS",C234)),ISNUMBER(SEARCH("LIFESTYLE",C234))),"Lifestyle &amp; Personal Essentials",IF(OR(ISNUMBER(SEARCH("EMERGENCY",C234)),ISNUMBER(SEARCH("SWEEP",C234)),ISNUMBER(SEARCH("RESERVE",C234))),"Emergency Fund Allocation","Unallocated Flex Buffer")))))))))</f>
        <v/>
      </c>
      <c r="J234" s="39" t="inlineStr"/>
      <c r="K234" s="23">
        <f>IF(C234="","",IF(J234&lt;&gt;"",J234,I234))</f>
        <v/>
      </c>
      <c r="L234" s="40">
        <f>IF(A234="","",IF(ISNUMBER(A234),TEXT(A234,"mmm-yyyy"),"Oct-2026"))</f>
        <v/>
      </c>
      <c r="M234" s="40">
        <f>IF(D234&gt;=5000,"🚨 High Value Debit (₹"&amp;TEXT(D234,"#,##0")&amp;")",IF(D234&gt;=1000,"⚡ Notable Expense","—"))</f>
        <v/>
      </c>
    </row>
    <row r="235">
      <c r="A235" s="39" t="inlineStr"/>
      <c r="B235" s="39" t="inlineStr"/>
      <c r="C235" s="39" t="inlineStr"/>
      <c r="D235" s="41" t="inlineStr"/>
      <c r="E235" s="41" t="inlineStr"/>
      <c r="F235" s="41" t="inlineStr"/>
      <c r="G235" s="39" t="inlineStr"/>
      <c r="H235" s="26">
        <f>IF(C235="","",IF(E235&gt;0,"INCOME",IF(D235&gt;0,"EXPENSE","NEUTRAL")))</f>
        <v/>
      </c>
      <c r="I235" s="39">
        <f>IF(C235="","",=IF(OR(ISNUMBER(SEARCH("STIPEND",C235)),ISNUMBER(SEARCH("SIGMASOFT",C235)),ISNUMBER(SEARCH("SALARY",C235))),"Internship Stipend",IF(OR(ISNUMBER(SEARCH("FAMILY",C235)),ISNUMBER(SEARCH("PAPA",C235)),ISNUMBER(SEARCH("MOM",C235)),ISNUMBER(SEARCH("FATHER",C235))),"Family Support",IF(OR(ISNUMBER(SEARCH("PG",C235)),ISNUMBER(SEARCH("RENT",C235)),ISNUMBER(SEARCH("STANZA",C235)),ISNUMBER(SEARCH("ZOLO",C235))),"PG Rent &amp; Covered Meals",IF(OR(ISNUMBER(SEARCH("GROWW",C235)),ISNUMBER(SEARCH("ZERODHA",C235)),ISNUMBER(SEARCH("MUTUAL",C235)),ISNUMBER(SEARCH("SIP",C235)),ISNUMBER(SEARCH("NIPPON",C235))),"Monthly SIP Investment",IF(OR(ISNUMBER(SEARCH("BMTC",C235)),ISNUMBER(SEARCH("BUS",C235)),ISNUMBER(SEARCH("METRO",C235)),ISNUMBER(SEARCH("CHALO",C235))),"BMTC Bus Commute",IF(OR(ISNUMBER(SEARCH("SWIGGY",C235)),ISNUMBER(SEARCH("ZOMATO",C235)),ISNUMBER(SEARCH("CANTEEN",C235)),ISNUMBER(SEARCH("LUNCH",C235)),ISNUMBER(SEARCH("FOOD",C235)),ISNUMBER(SEARCH("SUBWAY",C235))),"Daily Office Lunch (Mon–Sat)",IF(OR(ISNUMBER(SEARCH("BLINKIT",C235)),ISNUMBER(SEARCH("ZEPTO",C235)),ISNUMBER(SEARCH("RECHARGE",C235)),ISNUMBER(SEARCH("JIO",C235)),ISNUMBER(SEARCH("AIRTEL",C235)),ISNUMBER(SEARCH("PHARMACY",C235)),ISNUMBER(SEARCH("APOLLO",C235)),ISNUMBER(SEARCH("ESSENTIALS",C235)),ISNUMBER(SEARCH("LIFESTYLE",C235))),"Lifestyle &amp; Personal Essentials",IF(OR(ISNUMBER(SEARCH("EMERGENCY",C235)),ISNUMBER(SEARCH("SWEEP",C235)),ISNUMBER(SEARCH("RESERVE",C235))),"Emergency Fund Allocation","Unallocated Flex Buffer")))))))))</f>
        <v/>
      </c>
      <c r="J235" s="39" t="inlineStr"/>
      <c r="K235" s="23">
        <f>IF(C235="","",IF(J235&lt;&gt;"",J235,I235))</f>
        <v/>
      </c>
      <c r="L235" s="40">
        <f>IF(A235="","",IF(ISNUMBER(A235),TEXT(A235,"mmm-yyyy"),"Oct-2026"))</f>
        <v/>
      </c>
      <c r="M235" s="40">
        <f>IF(D235&gt;=5000,"🚨 High Value Debit (₹"&amp;TEXT(D235,"#,##0")&amp;")",IF(D235&gt;=1000,"⚡ Notable Expense","—"))</f>
        <v/>
      </c>
    </row>
    <row r="236">
      <c r="A236" s="39" t="inlineStr"/>
      <c r="B236" s="39" t="inlineStr"/>
      <c r="C236" s="39" t="inlineStr"/>
      <c r="D236" s="41" t="inlineStr"/>
      <c r="E236" s="41" t="inlineStr"/>
      <c r="F236" s="41" t="inlineStr"/>
      <c r="G236" s="39" t="inlineStr"/>
      <c r="H236" s="26">
        <f>IF(C236="","",IF(E236&gt;0,"INCOME",IF(D236&gt;0,"EXPENSE","NEUTRAL")))</f>
        <v/>
      </c>
      <c r="I236" s="39">
        <f>IF(C236="","",=IF(OR(ISNUMBER(SEARCH("STIPEND",C236)),ISNUMBER(SEARCH("SIGMASOFT",C236)),ISNUMBER(SEARCH("SALARY",C236))),"Internship Stipend",IF(OR(ISNUMBER(SEARCH("FAMILY",C236)),ISNUMBER(SEARCH("PAPA",C236)),ISNUMBER(SEARCH("MOM",C236)),ISNUMBER(SEARCH("FATHER",C236))),"Family Support",IF(OR(ISNUMBER(SEARCH("PG",C236)),ISNUMBER(SEARCH("RENT",C236)),ISNUMBER(SEARCH("STANZA",C236)),ISNUMBER(SEARCH("ZOLO",C236))),"PG Rent &amp; Covered Meals",IF(OR(ISNUMBER(SEARCH("GROWW",C236)),ISNUMBER(SEARCH("ZERODHA",C236)),ISNUMBER(SEARCH("MUTUAL",C236)),ISNUMBER(SEARCH("SIP",C236)),ISNUMBER(SEARCH("NIPPON",C236))),"Monthly SIP Investment",IF(OR(ISNUMBER(SEARCH("BMTC",C236)),ISNUMBER(SEARCH("BUS",C236)),ISNUMBER(SEARCH("METRO",C236)),ISNUMBER(SEARCH("CHALO",C236))),"BMTC Bus Commute",IF(OR(ISNUMBER(SEARCH("SWIGGY",C236)),ISNUMBER(SEARCH("ZOMATO",C236)),ISNUMBER(SEARCH("CANTEEN",C236)),ISNUMBER(SEARCH("LUNCH",C236)),ISNUMBER(SEARCH("FOOD",C236)),ISNUMBER(SEARCH("SUBWAY",C236))),"Daily Office Lunch (Mon–Sat)",IF(OR(ISNUMBER(SEARCH("BLINKIT",C236)),ISNUMBER(SEARCH("ZEPTO",C236)),ISNUMBER(SEARCH("RECHARGE",C236)),ISNUMBER(SEARCH("JIO",C236)),ISNUMBER(SEARCH("AIRTEL",C236)),ISNUMBER(SEARCH("PHARMACY",C236)),ISNUMBER(SEARCH("APOLLO",C236)),ISNUMBER(SEARCH("ESSENTIALS",C236)),ISNUMBER(SEARCH("LIFESTYLE",C236))),"Lifestyle &amp; Personal Essentials",IF(OR(ISNUMBER(SEARCH("EMERGENCY",C236)),ISNUMBER(SEARCH("SWEEP",C236)),ISNUMBER(SEARCH("RESERVE",C236))),"Emergency Fund Allocation","Unallocated Flex Buffer")))))))))</f>
        <v/>
      </c>
      <c r="J236" s="39" t="inlineStr"/>
      <c r="K236" s="23">
        <f>IF(C236="","",IF(J236&lt;&gt;"",J236,I236))</f>
        <v/>
      </c>
      <c r="L236" s="40">
        <f>IF(A236="","",IF(ISNUMBER(A236),TEXT(A236,"mmm-yyyy"),"Oct-2026"))</f>
        <v/>
      </c>
      <c r="M236" s="40">
        <f>IF(D236&gt;=5000,"🚨 High Value Debit (₹"&amp;TEXT(D236,"#,##0")&amp;")",IF(D236&gt;=1000,"⚡ Notable Expense","—"))</f>
        <v/>
      </c>
    </row>
    <row r="237">
      <c r="A237" s="39" t="inlineStr"/>
      <c r="B237" s="39" t="inlineStr"/>
      <c r="C237" s="39" t="inlineStr"/>
      <c r="D237" s="41" t="inlineStr"/>
      <c r="E237" s="41" t="inlineStr"/>
      <c r="F237" s="41" t="inlineStr"/>
      <c r="G237" s="39" t="inlineStr"/>
      <c r="H237" s="26">
        <f>IF(C237="","",IF(E237&gt;0,"INCOME",IF(D237&gt;0,"EXPENSE","NEUTRAL")))</f>
        <v/>
      </c>
      <c r="I237" s="39">
        <f>IF(C237="","",=IF(OR(ISNUMBER(SEARCH("STIPEND",C237)),ISNUMBER(SEARCH("SIGMASOFT",C237)),ISNUMBER(SEARCH("SALARY",C237))),"Internship Stipend",IF(OR(ISNUMBER(SEARCH("FAMILY",C237)),ISNUMBER(SEARCH("PAPA",C237)),ISNUMBER(SEARCH("MOM",C237)),ISNUMBER(SEARCH("FATHER",C237))),"Family Support",IF(OR(ISNUMBER(SEARCH("PG",C237)),ISNUMBER(SEARCH("RENT",C237)),ISNUMBER(SEARCH("STANZA",C237)),ISNUMBER(SEARCH("ZOLO",C237))),"PG Rent &amp; Covered Meals",IF(OR(ISNUMBER(SEARCH("GROWW",C237)),ISNUMBER(SEARCH("ZERODHA",C237)),ISNUMBER(SEARCH("MUTUAL",C237)),ISNUMBER(SEARCH("SIP",C237)),ISNUMBER(SEARCH("NIPPON",C237))),"Monthly SIP Investment",IF(OR(ISNUMBER(SEARCH("BMTC",C237)),ISNUMBER(SEARCH("BUS",C237)),ISNUMBER(SEARCH("METRO",C237)),ISNUMBER(SEARCH("CHALO",C237))),"BMTC Bus Commute",IF(OR(ISNUMBER(SEARCH("SWIGGY",C237)),ISNUMBER(SEARCH("ZOMATO",C237)),ISNUMBER(SEARCH("CANTEEN",C237)),ISNUMBER(SEARCH("LUNCH",C237)),ISNUMBER(SEARCH("FOOD",C237)),ISNUMBER(SEARCH("SUBWAY",C237))),"Daily Office Lunch (Mon–Sat)",IF(OR(ISNUMBER(SEARCH("BLINKIT",C237)),ISNUMBER(SEARCH("ZEPTO",C237)),ISNUMBER(SEARCH("RECHARGE",C237)),ISNUMBER(SEARCH("JIO",C237)),ISNUMBER(SEARCH("AIRTEL",C237)),ISNUMBER(SEARCH("PHARMACY",C237)),ISNUMBER(SEARCH("APOLLO",C237)),ISNUMBER(SEARCH("ESSENTIALS",C237)),ISNUMBER(SEARCH("LIFESTYLE",C237))),"Lifestyle &amp; Personal Essentials",IF(OR(ISNUMBER(SEARCH("EMERGENCY",C237)),ISNUMBER(SEARCH("SWEEP",C237)),ISNUMBER(SEARCH("RESERVE",C237))),"Emergency Fund Allocation","Unallocated Flex Buffer")))))))))</f>
        <v/>
      </c>
      <c r="J237" s="39" t="inlineStr"/>
      <c r="K237" s="23">
        <f>IF(C237="","",IF(J237&lt;&gt;"",J237,I237))</f>
        <v/>
      </c>
      <c r="L237" s="40">
        <f>IF(A237="","",IF(ISNUMBER(A237),TEXT(A237,"mmm-yyyy"),"Oct-2026"))</f>
        <v/>
      </c>
      <c r="M237" s="40">
        <f>IF(D237&gt;=5000,"🚨 High Value Debit (₹"&amp;TEXT(D237,"#,##0")&amp;")",IF(D237&gt;=1000,"⚡ Notable Expense","—"))</f>
        <v/>
      </c>
    </row>
    <row r="238">
      <c r="A238" s="39" t="inlineStr"/>
      <c r="B238" s="39" t="inlineStr"/>
      <c r="C238" s="39" t="inlineStr"/>
      <c r="D238" s="41" t="inlineStr"/>
      <c r="E238" s="41" t="inlineStr"/>
      <c r="F238" s="41" t="inlineStr"/>
      <c r="G238" s="39" t="inlineStr"/>
      <c r="H238" s="26">
        <f>IF(C238="","",IF(E238&gt;0,"INCOME",IF(D238&gt;0,"EXPENSE","NEUTRAL")))</f>
        <v/>
      </c>
      <c r="I238" s="39">
        <f>IF(C238="","",=IF(OR(ISNUMBER(SEARCH("STIPEND",C238)),ISNUMBER(SEARCH("SIGMASOFT",C238)),ISNUMBER(SEARCH("SALARY",C238))),"Internship Stipend",IF(OR(ISNUMBER(SEARCH("FAMILY",C238)),ISNUMBER(SEARCH("PAPA",C238)),ISNUMBER(SEARCH("MOM",C238)),ISNUMBER(SEARCH("FATHER",C238))),"Family Support",IF(OR(ISNUMBER(SEARCH("PG",C238)),ISNUMBER(SEARCH("RENT",C238)),ISNUMBER(SEARCH("STANZA",C238)),ISNUMBER(SEARCH("ZOLO",C238))),"PG Rent &amp; Covered Meals",IF(OR(ISNUMBER(SEARCH("GROWW",C238)),ISNUMBER(SEARCH("ZERODHA",C238)),ISNUMBER(SEARCH("MUTUAL",C238)),ISNUMBER(SEARCH("SIP",C238)),ISNUMBER(SEARCH("NIPPON",C238))),"Monthly SIP Investment",IF(OR(ISNUMBER(SEARCH("BMTC",C238)),ISNUMBER(SEARCH("BUS",C238)),ISNUMBER(SEARCH("METRO",C238)),ISNUMBER(SEARCH("CHALO",C238))),"BMTC Bus Commute",IF(OR(ISNUMBER(SEARCH("SWIGGY",C238)),ISNUMBER(SEARCH("ZOMATO",C238)),ISNUMBER(SEARCH("CANTEEN",C238)),ISNUMBER(SEARCH("LUNCH",C238)),ISNUMBER(SEARCH("FOOD",C238)),ISNUMBER(SEARCH("SUBWAY",C238))),"Daily Office Lunch (Mon–Sat)",IF(OR(ISNUMBER(SEARCH("BLINKIT",C238)),ISNUMBER(SEARCH("ZEPTO",C238)),ISNUMBER(SEARCH("RECHARGE",C238)),ISNUMBER(SEARCH("JIO",C238)),ISNUMBER(SEARCH("AIRTEL",C238)),ISNUMBER(SEARCH("PHARMACY",C238)),ISNUMBER(SEARCH("APOLLO",C238)),ISNUMBER(SEARCH("ESSENTIALS",C238)),ISNUMBER(SEARCH("LIFESTYLE",C238))),"Lifestyle &amp; Personal Essentials",IF(OR(ISNUMBER(SEARCH("EMERGENCY",C238)),ISNUMBER(SEARCH("SWEEP",C238)),ISNUMBER(SEARCH("RESERVE",C238))),"Emergency Fund Allocation","Unallocated Flex Buffer")))))))))</f>
        <v/>
      </c>
      <c r="J238" s="39" t="inlineStr"/>
      <c r="K238" s="23">
        <f>IF(C238="","",IF(J238&lt;&gt;"",J238,I238))</f>
        <v/>
      </c>
      <c r="L238" s="40">
        <f>IF(A238="","",IF(ISNUMBER(A238),TEXT(A238,"mmm-yyyy"),"Oct-2026"))</f>
        <v/>
      </c>
      <c r="M238" s="40">
        <f>IF(D238&gt;=5000,"🚨 High Value Debit (₹"&amp;TEXT(D238,"#,##0")&amp;")",IF(D238&gt;=1000,"⚡ Notable Expense","—"))</f>
        <v/>
      </c>
    </row>
    <row r="239">
      <c r="A239" s="39" t="inlineStr"/>
      <c r="B239" s="39" t="inlineStr"/>
      <c r="C239" s="39" t="inlineStr"/>
      <c r="D239" s="41" t="inlineStr"/>
      <c r="E239" s="41" t="inlineStr"/>
      <c r="F239" s="41" t="inlineStr"/>
      <c r="G239" s="39" t="inlineStr"/>
      <c r="H239" s="26">
        <f>IF(C239="","",IF(E239&gt;0,"INCOME",IF(D239&gt;0,"EXPENSE","NEUTRAL")))</f>
        <v/>
      </c>
      <c r="I239" s="39">
        <f>IF(C239="","",=IF(OR(ISNUMBER(SEARCH("STIPEND",C239)),ISNUMBER(SEARCH("SIGMASOFT",C239)),ISNUMBER(SEARCH("SALARY",C239))),"Internship Stipend",IF(OR(ISNUMBER(SEARCH("FAMILY",C239)),ISNUMBER(SEARCH("PAPA",C239)),ISNUMBER(SEARCH("MOM",C239)),ISNUMBER(SEARCH("FATHER",C239))),"Family Support",IF(OR(ISNUMBER(SEARCH("PG",C239)),ISNUMBER(SEARCH("RENT",C239)),ISNUMBER(SEARCH("STANZA",C239)),ISNUMBER(SEARCH("ZOLO",C239))),"PG Rent &amp; Covered Meals",IF(OR(ISNUMBER(SEARCH("GROWW",C239)),ISNUMBER(SEARCH("ZERODHA",C239)),ISNUMBER(SEARCH("MUTUAL",C239)),ISNUMBER(SEARCH("SIP",C239)),ISNUMBER(SEARCH("NIPPON",C239))),"Monthly SIP Investment",IF(OR(ISNUMBER(SEARCH("BMTC",C239)),ISNUMBER(SEARCH("BUS",C239)),ISNUMBER(SEARCH("METRO",C239)),ISNUMBER(SEARCH("CHALO",C239))),"BMTC Bus Commute",IF(OR(ISNUMBER(SEARCH("SWIGGY",C239)),ISNUMBER(SEARCH("ZOMATO",C239)),ISNUMBER(SEARCH("CANTEEN",C239)),ISNUMBER(SEARCH("LUNCH",C239)),ISNUMBER(SEARCH("FOOD",C239)),ISNUMBER(SEARCH("SUBWAY",C239))),"Daily Office Lunch (Mon–Sat)",IF(OR(ISNUMBER(SEARCH("BLINKIT",C239)),ISNUMBER(SEARCH("ZEPTO",C239)),ISNUMBER(SEARCH("RECHARGE",C239)),ISNUMBER(SEARCH("JIO",C239)),ISNUMBER(SEARCH("AIRTEL",C239)),ISNUMBER(SEARCH("PHARMACY",C239)),ISNUMBER(SEARCH("APOLLO",C239)),ISNUMBER(SEARCH("ESSENTIALS",C239)),ISNUMBER(SEARCH("LIFESTYLE",C239))),"Lifestyle &amp; Personal Essentials",IF(OR(ISNUMBER(SEARCH("EMERGENCY",C239)),ISNUMBER(SEARCH("SWEEP",C239)),ISNUMBER(SEARCH("RESERVE",C239))),"Emergency Fund Allocation","Unallocated Flex Buffer")))))))))</f>
        <v/>
      </c>
      <c r="J239" s="39" t="inlineStr"/>
      <c r="K239" s="23">
        <f>IF(C239="","",IF(J239&lt;&gt;"",J239,I239))</f>
        <v/>
      </c>
      <c r="L239" s="40">
        <f>IF(A239="","",IF(ISNUMBER(A239),TEXT(A239,"mmm-yyyy"),"Oct-2026"))</f>
        <v/>
      </c>
      <c r="M239" s="40">
        <f>IF(D239&gt;=5000,"🚨 High Value Debit (₹"&amp;TEXT(D239,"#,##0")&amp;")",IF(D239&gt;=1000,"⚡ Notable Expense","—"))</f>
        <v/>
      </c>
    </row>
    <row r="240">
      <c r="A240" s="39" t="inlineStr"/>
      <c r="B240" s="39" t="inlineStr"/>
      <c r="C240" s="39" t="inlineStr"/>
      <c r="D240" s="41" t="inlineStr"/>
      <c r="E240" s="41" t="inlineStr"/>
      <c r="F240" s="41" t="inlineStr"/>
      <c r="G240" s="39" t="inlineStr"/>
      <c r="H240" s="26">
        <f>IF(C240="","",IF(E240&gt;0,"INCOME",IF(D240&gt;0,"EXPENSE","NEUTRAL")))</f>
        <v/>
      </c>
      <c r="I240" s="39">
        <f>IF(C240="","",=IF(OR(ISNUMBER(SEARCH("STIPEND",C240)),ISNUMBER(SEARCH("SIGMASOFT",C240)),ISNUMBER(SEARCH("SALARY",C240))),"Internship Stipend",IF(OR(ISNUMBER(SEARCH("FAMILY",C240)),ISNUMBER(SEARCH("PAPA",C240)),ISNUMBER(SEARCH("MOM",C240)),ISNUMBER(SEARCH("FATHER",C240))),"Family Support",IF(OR(ISNUMBER(SEARCH("PG",C240)),ISNUMBER(SEARCH("RENT",C240)),ISNUMBER(SEARCH("STANZA",C240)),ISNUMBER(SEARCH("ZOLO",C240))),"PG Rent &amp; Covered Meals",IF(OR(ISNUMBER(SEARCH("GROWW",C240)),ISNUMBER(SEARCH("ZERODHA",C240)),ISNUMBER(SEARCH("MUTUAL",C240)),ISNUMBER(SEARCH("SIP",C240)),ISNUMBER(SEARCH("NIPPON",C240))),"Monthly SIP Investment",IF(OR(ISNUMBER(SEARCH("BMTC",C240)),ISNUMBER(SEARCH("BUS",C240)),ISNUMBER(SEARCH("METRO",C240)),ISNUMBER(SEARCH("CHALO",C240))),"BMTC Bus Commute",IF(OR(ISNUMBER(SEARCH("SWIGGY",C240)),ISNUMBER(SEARCH("ZOMATO",C240)),ISNUMBER(SEARCH("CANTEEN",C240)),ISNUMBER(SEARCH("LUNCH",C240)),ISNUMBER(SEARCH("FOOD",C240)),ISNUMBER(SEARCH("SUBWAY",C240))),"Daily Office Lunch (Mon–Sat)",IF(OR(ISNUMBER(SEARCH("BLINKIT",C240)),ISNUMBER(SEARCH("ZEPTO",C240)),ISNUMBER(SEARCH("RECHARGE",C240)),ISNUMBER(SEARCH("JIO",C240)),ISNUMBER(SEARCH("AIRTEL",C240)),ISNUMBER(SEARCH("PHARMACY",C240)),ISNUMBER(SEARCH("APOLLO",C240)),ISNUMBER(SEARCH("ESSENTIALS",C240)),ISNUMBER(SEARCH("LIFESTYLE",C240))),"Lifestyle &amp; Personal Essentials",IF(OR(ISNUMBER(SEARCH("EMERGENCY",C240)),ISNUMBER(SEARCH("SWEEP",C240)),ISNUMBER(SEARCH("RESERVE",C240))),"Emergency Fund Allocation","Unallocated Flex Buffer")))))))))</f>
        <v/>
      </c>
      <c r="J240" s="39" t="inlineStr"/>
      <c r="K240" s="23">
        <f>IF(C240="","",IF(J240&lt;&gt;"",J240,I240))</f>
        <v/>
      </c>
      <c r="L240" s="40">
        <f>IF(A240="","",IF(ISNUMBER(A240),TEXT(A240,"mmm-yyyy"),"Oct-2026"))</f>
        <v/>
      </c>
      <c r="M240" s="40">
        <f>IF(D240&gt;=5000,"🚨 High Value Debit (₹"&amp;TEXT(D240,"#,##0")&amp;")",IF(D240&gt;=1000,"⚡ Notable Expense","—"))</f>
        <v/>
      </c>
    </row>
    <row r="241">
      <c r="A241" s="39" t="inlineStr"/>
      <c r="B241" s="39" t="inlineStr"/>
      <c r="C241" s="39" t="inlineStr"/>
      <c r="D241" s="41" t="inlineStr"/>
      <c r="E241" s="41" t="inlineStr"/>
      <c r="F241" s="41" t="inlineStr"/>
      <c r="G241" s="39" t="inlineStr"/>
      <c r="H241" s="26">
        <f>IF(C241="","",IF(E241&gt;0,"INCOME",IF(D241&gt;0,"EXPENSE","NEUTRAL")))</f>
        <v/>
      </c>
      <c r="I241" s="39">
        <f>IF(C241="","",=IF(OR(ISNUMBER(SEARCH("STIPEND",C241)),ISNUMBER(SEARCH("SIGMASOFT",C241)),ISNUMBER(SEARCH("SALARY",C241))),"Internship Stipend",IF(OR(ISNUMBER(SEARCH("FAMILY",C241)),ISNUMBER(SEARCH("PAPA",C241)),ISNUMBER(SEARCH("MOM",C241)),ISNUMBER(SEARCH("FATHER",C241))),"Family Support",IF(OR(ISNUMBER(SEARCH("PG",C241)),ISNUMBER(SEARCH("RENT",C241)),ISNUMBER(SEARCH("STANZA",C241)),ISNUMBER(SEARCH("ZOLO",C241))),"PG Rent &amp; Covered Meals",IF(OR(ISNUMBER(SEARCH("GROWW",C241)),ISNUMBER(SEARCH("ZERODHA",C241)),ISNUMBER(SEARCH("MUTUAL",C241)),ISNUMBER(SEARCH("SIP",C241)),ISNUMBER(SEARCH("NIPPON",C241))),"Monthly SIP Investment",IF(OR(ISNUMBER(SEARCH("BMTC",C241)),ISNUMBER(SEARCH("BUS",C241)),ISNUMBER(SEARCH("METRO",C241)),ISNUMBER(SEARCH("CHALO",C241))),"BMTC Bus Commute",IF(OR(ISNUMBER(SEARCH("SWIGGY",C241)),ISNUMBER(SEARCH("ZOMATO",C241)),ISNUMBER(SEARCH("CANTEEN",C241)),ISNUMBER(SEARCH("LUNCH",C241)),ISNUMBER(SEARCH("FOOD",C241)),ISNUMBER(SEARCH("SUBWAY",C241))),"Daily Office Lunch (Mon–Sat)",IF(OR(ISNUMBER(SEARCH("BLINKIT",C241)),ISNUMBER(SEARCH("ZEPTO",C241)),ISNUMBER(SEARCH("RECHARGE",C241)),ISNUMBER(SEARCH("JIO",C241)),ISNUMBER(SEARCH("AIRTEL",C241)),ISNUMBER(SEARCH("PHARMACY",C241)),ISNUMBER(SEARCH("APOLLO",C241)),ISNUMBER(SEARCH("ESSENTIALS",C241)),ISNUMBER(SEARCH("LIFESTYLE",C241))),"Lifestyle &amp; Personal Essentials",IF(OR(ISNUMBER(SEARCH("EMERGENCY",C241)),ISNUMBER(SEARCH("SWEEP",C241)),ISNUMBER(SEARCH("RESERVE",C241))),"Emergency Fund Allocation","Unallocated Flex Buffer")))))))))</f>
        <v/>
      </c>
      <c r="J241" s="39" t="inlineStr"/>
      <c r="K241" s="23">
        <f>IF(C241="","",IF(J241&lt;&gt;"",J241,I241))</f>
        <v/>
      </c>
      <c r="L241" s="40">
        <f>IF(A241="","",IF(ISNUMBER(A241),TEXT(A241,"mmm-yyyy"),"Oct-2026"))</f>
        <v/>
      </c>
      <c r="M241" s="40">
        <f>IF(D241&gt;=5000,"🚨 High Value Debit (₹"&amp;TEXT(D241,"#,##0")&amp;")",IF(D241&gt;=1000,"⚡ Notable Expense","—"))</f>
        <v/>
      </c>
    </row>
    <row r="242">
      <c r="A242" s="39" t="inlineStr"/>
      <c r="B242" s="39" t="inlineStr"/>
      <c r="C242" s="39" t="inlineStr"/>
      <c r="D242" s="41" t="inlineStr"/>
      <c r="E242" s="41" t="inlineStr"/>
      <c r="F242" s="41" t="inlineStr"/>
      <c r="G242" s="39" t="inlineStr"/>
      <c r="H242" s="26">
        <f>IF(C242="","",IF(E242&gt;0,"INCOME",IF(D242&gt;0,"EXPENSE","NEUTRAL")))</f>
        <v/>
      </c>
      <c r="I242" s="39">
        <f>IF(C242="","",=IF(OR(ISNUMBER(SEARCH("STIPEND",C242)),ISNUMBER(SEARCH("SIGMASOFT",C242)),ISNUMBER(SEARCH("SALARY",C242))),"Internship Stipend",IF(OR(ISNUMBER(SEARCH("FAMILY",C242)),ISNUMBER(SEARCH("PAPA",C242)),ISNUMBER(SEARCH("MOM",C242)),ISNUMBER(SEARCH("FATHER",C242))),"Family Support",IF(OR(ISNUMBER(SEARCH("PG",C242)),ISNUMBER(SEARCH("RENT",C242)),ISNUMBER(SEARCH("STANZA",C242)),ISNUMBER(SEARCH("ZOLO",C242))),"PG Rent &amp; Covered Meals",IF(OR(ISNUMBER(SEARCH("GROWW",C242)),ISNUMBER(SEARCH("ZERODHA",C242)),ISNUMBER(SEARCH("MUTUAL",C242)),ISNUMBER(SEARCH("SIP",C242)),ISNUMBER(SEARCH("NIPPON",C242))),"Monthly SIP Investment",IF(OR(ISNUMBER(SEARCH("BMTC",C242)),ISNUMBER(SEARCH("BUS",C242)),ISNUMBER(SEARCH("METRO",C242)),ISNUMBER(SEARCH("CHALO",C242))),"BMTC Bus Commute",IF(OR(ISNUMBER(SEARCH("SWIGGY",C242)),ISNUMBER(SEARCH("ZOMATO",C242)),ISNUMBER(SEARCH("CANTEEN",C242)),ISNUMBER(SEARCH("LUNCH",C242)),ISNUMBER(SEARCH("FOOD",C242)),ISNUMBER(SEARCH("SUBWAY",C242))),"Daily Office Lunch (Mon–Sat)",IF(OR(ISNUMBER(SEARCH("BLINKIT",C242)),ISNUMBER(SEARCH("ZEPTO",C242)),ISNUMBER(SEARCH("RECHARGE",C242)),ISNUMBER(SEARCH("JIO",C242)),ISNUMBER(SEARCH("AIRTEL",C242)),ISNUMBER(SEARCH("PHARMACY",C242)),ISNUMBER(SEARCH("APOLLO",C242)),ISNUMBER(SEARCH("ESSENTIALS",C242)),ISNUMBER(SEARCH("LIFESTYLE",C242))),"Lifestyle &amp; Personal Essentials",IF(OR(ISNUMBER(SEARCH("EMERGENCY",C242)),ISNUMBER(SEARCH("SWEEP",C242)),ISNUMBER(SEARCH("RESERVE",C242))),"Emergency Fund Allocation","Unallocated Flex Buffer")))))))))</f>
        <v/>
      </c>
      <c r="J242" s="39" t="inlineStr"/>
      <c r="K242" s="23">
        <f>IF(C242="","",IF(J242&lt;&gt;"",J242,I242))</f>
        <v/>
      </c>
      <c r="L242" s="40">
        <f>IF(A242="","",IF(ISNUMBER(A242),TEXT(A242,"mmm-yyyy"),"Oct-2026"))</f>
        <v/>
      </c>
      <c r="M242" s="40">
        <f>IF(D242&gt;=5000,"🚨 High Value Debit (₹"&amp;TEXT(D242,"#,##0")&amp;")",IF(D242&gt;=1000,"⚡ Notable Expense","—"))</f>
        <v/>
      </c>
    </row>
    <row r="243">
      <c r="A243" s="39" t="inlineStr"/>
      <c r="B243" s="39" t="inlineStr"/>
      <c r="C243" s="39" t="inlineStr"/>
      <c r="D243" s="41" t="inlineStr"/>
      <c r="E243" s="41" t="inlineStr"/>
      <c r="F243" s="41" t="inlineStr"/>
      <c r="G243" s="39" t="inlineStr"/>
      <c r="H243" s="26">
        <f>IF(C243="","",IF(E243&gt;0,"INCOME",IF(D243&gt;0,"EXPENSE","NEUTRAL")))</f>
        <v/>
      </c>
      <c r="I243" s="39">
        <f>IF(C243="","",=IF(OR(ISNUMBER(SEARCH("STIPEND",C243)),ISNUMBER(SEARCH("SIGMASOFT",C243)),ISNUMBER(SEARCH("SALARY",C243))),"Internship Stipend",IF(OR(ISNUMBER(SEARCH("FAMILY",C243)),ISNUMBER(SEARCH("PAPA",C243)),ISNUMBER(SEARCH("MOM",C243)),ISNUMBER(SEARCH("FATHER",C243))),"Family Support",IF(OR(ISNUMBER(SEARCH("PG",C243)),ISNUMBER(SEARCH("RENT",C243)),ISNUMBER(SEARCH("STANZA",C243)),ISNUMBER(SEARCH("ZOLO",C243))),"PG Rent &amp; Covered Meals",IF(OR(ISNUMBER(SEARCH("GROWW",C243)),ISNUMBER(SEARCH("ZERODHA",C243)),ISNUMBER(SEARCH("MUTUAL",C243)),ISNUMBER(SEARCH("SIP",C243)),ISNUMBER(SEARCH("NIPPON",C243))),"Monthly SIP Investment",IF(OR(ISNUMBER(SEARCH("BMTC",C243)),ISNUMBER(SEARCH("BUS",C243)),ISNUMBER(SEARCH("METRO",C243)),ISNUMBER(SEARCH("CHALO",C243))),"BMTC Bus Commute",IF(OR(ISNUMBER(SEARCH("SWIGGY",C243)),ISNUMBER(SEARCH("ZOMATO",C243)),ISNUMBER(SEARCH("CANTEEN",C243)),ISNUMBER(SEARCH("LUNCH",C243)),ISNUMBER(SEARCH("FOOD",C243)),ISNUMBER(SEARCH("SUBWAY",C243))),"Daily Office Lunch (Mon–Sat)",IF(OR(ISNUMBER(SEARCH("BLINKIT",C243)),ISNUMBER(SEARCH("ZEPTO",C243)),ISNUMBER(SEARCH("RECHARGE",C243)),ISNUMBER(SEARCH("JIO",C243)),ISNUMBER(SEARCH("AIRTEL",C243)),ISNUMBER(SEARCH("PHARMACY",C243)),ISNUMBER(SEARCH("APOLLO",C243)),ISNUMBER(SEARCH("ESSENTIALS",C243)),ISNUMBER(SEARCH("LIFESTYLE",C243))),"Lifestyle &amp; Personal Essentials",IF(OR(ISNUMBER(SEARCH("EMERGENCY",C243)),ISNUMBER(SEARCH("SWEEP",C243)),ISNUMBER(SEARCH("RESERVE",C243))),"Emergency Fund Allocation","Unallocated Flex Buffer")))))))))</f>
        <v/>
      </c>
      <c r="J243" s="39" t="inlineStr"/>
      <c r="K243" s="23">
        <f>IF(C243="","",IF(J243&lt;&gt;"",J243,I243))</f>
        <v/>
      </c>
      <c r="L243" s="40">
        <f>IF(A243="","",IF(ISNUMBER(A243),TEXT(A243,"mmm-yyyy"),"Oct-2026"))</f>
        <v/>
      </c>
      <c r="M243" s="40">
        <f>IF(D243&gt;=5000,"🚨 High Value Debit (₹"&amp;TEXT(D243,"#,##0")&amp;")",IF(D243&gt;=1000,"⚡ Notable Expense","—"))</f>
        <v/>
      </c>
    </row>
    <row r="244">
      <c r="A244" s="39" t="inlineStr"/>
      <c r="B244" s="39" t="inlineStr"/>
      <c r="C244" s="39" t="inlineStr"/>
      <c r="D244" s="41" t="inlineStr"/>
      <c r="E244" s="41" t="inlineStr"/>
      <c r="F244" s="41" t="inlineStr"/>
      <c r="G244" s="39" t="inlineStr"/>
      <c r="H244" s="26">
        <f>IF(C244="","",IF(E244&gt;0,"INCOME",IF(D244&gt;0,"EXPENSE","NEUTRAL")))</f>
        <v/>
      </c>
      <c r="I244" s="39">
        <f>IF(C244="","",=IF(OR(ISNUMBER(SEARCH("STIPEND",C244)),ISNUMBER(SEARCH("SIGMASOFT",C244)),ISNUMBER(SEARCH("SALARY",C244))),"Internship Stipend",IF(OR(ISNUMBER(SEARCH("FAMILY",C244)),ISNUMBER(SEARCH("PAPA",C244)),ISNUMBER(SEARCH("MOM",C244)),ISNUMBER(SEARCH("FATHER",C244))),"Family Support",IF(OR(ISNUMBER(SEARCH("PG",C244)),ISNUMBER(SEARCH("RENT",C244)),ISNUMBER(SEARCH("STANZA",C244)),ISNUMBER(SEARCH("ZOLO",C244))),"PG Rent &amp; Covered Meals",IF(OR(ISNUMBER(SEARCH("GROWW",C244)),ISNUMBER(SEARCH("ZERODHA",C244)),ISNUMBER(SEARCH("MUTUAL",C244)),ISNUMBER(SEARCH("SIP",C244)),ISNUMBER(SEARCH("NIPPON",C244))),"Monthly SIP Investment",IF(OR(ISNUMBER(SEARCH("BMTC",C244)),ISNUMBER(SEARCH("BUS",C244)),ISNUMBER(SEARCH("METRO",C244)),ISNUMBER(SEARCH("CHALO",C244))),"BMTC Bus Commute",IF(OR(ISNUMBER(SEARCH("SWIGGY",C244)),ISNUMBER(SEARCH("ZOMATO",C244)),ISNUMBER(SEARCH("CANTEEN",C244)),ISNUMBER(SEARCH("LUNCH",C244)),ISNUMBER(SEARCH("FOOD",C244)),ISNUMBER(SEARCH("SUBWAY",C244))),"Daily Office Lunch (Mon–Sat)",IF(OR(ISNUMBER(SEARCH("BLINKIT",C244)),ISNUMBER(SEARCH("ZEPTO",C244)),ISNUMBER(SEARCH("RECHARGE",C244)),ISNUMBER(SEARCH("JIO",C244)),ISNUMBER(SEARCH("AIRTEL",C244)),ISNUMBER(SEARCH("PHARMACY",C244)),ISNUMBER(SEARCH("APOLLO",C244)),ISNUMBER(SEARCH("ESSENTIALS",C244)),ISNUMBER(SEARCH("LIFESTYLE",C244))),"Lifestyle &amp; Personal Essentials",IF(OR(ISNUMBER(SEARCH("EMERGENCY",C244)),ISNUMBER(SEARCH("SWEEP",C244)),ISNUMBER(SEARCH("RESERVE",C244))),"Emergency Fund Allocation","Unallocated Flex Buffer")))))))))</f>
        <v/>
      </c>
      <c r="J244" s="39" t="inlineStr"/>
      <c r="K244" s="23">
        <f>IF(C244="","",IF(J244&lt;&gt;"",J244,I244))</f>
        <v/>
      </c>
      <c r="L244" s="40">
        <f>IF(A244="","",IF(ISNUMBER(A244),TEXT(A244,"mmm-yyyy"),"Oct-2026"))</f>
        <v/>
      </c>
      <c r="M244" s="40">
        <f>IF(D244&gt;=5000,"🚨 High Value Debit (₹"&amp;TEXT(D244,"#,##0")&amp;")",IF(D244&gt;=1000,"⚡ Notable Expense","—"))</f>
        <v/>
      </c>
    </row>
    <row r="245">
      <c r="A245" s="39" t="inlineStr"/>
      <c r="B245" s="39" t="inlineStr"/>
      <c r="C245" s="39" t="inlineStr"/>
      <c r="D245" s="41" t="inlineStr"/>
      <c r="E245" s="41" t="inlineStr"/>
      <c r="F245" s="41" t="inlineStr"/>
      <c r="G245" s="39" t="inlineStr"/>
      <c r="H245" s="26">
        <f>IF(C245="","",IF(E245&gt;0,"INCOME",IF(D245&gt;0,"EXPENSE","NEUTRAL")))</f>
        <v/>
      </c>
      <c r="I245" s="39">
        <f>IF(C245="","",=IF(OR(ISNUMBER(SEARCH("STIPEND",C245)),ISNUMBER(SEARCH("SIGMASOFT",C245)),ISNUMBER(SEARCH("SALARY",C245))),"Internship Stipend",IF(OR(ISNUMBER(SEARCH("FAMILY",C245)),ISNUMBER(SEARCH("PAPA",C245)),ISNUMBER(SEARCH("MOM",C245)),ISNUMBER(SEARCH("FATHER",C245))),"Family Support",IF(OR(ISNUMBER(SEARCH("PG",C245)),ISNUMBER(SEARCH("RENT",C245)),ISNUMBER(SEARCH("STANZA",C245)),ISNUMBER(SEARCH("ZOLO",C245))),"PG Rent &amp; Covered Meals",IF(OR(ISNUMBER(SEARCH("GROWW",C245)),ISNUMBER(SEARCH("ZERODHA",C245)),ISNUMBER(SEARCH("MUTUAL",C245)),ISNUMBER(SEARCH("SIP",C245)),ISNUMBER(SEARCH("NIPPON",C245))),"Monthly SIP Investment",IF(OR(ISNUMBER(SEARCH("BMTC",C245)),ISNUMBER(SEARCH("BUS",C245)),ISNUMBER(SEARCH("METRO",C245)),ISNUMBER(SEARCH("CHALO",C245))),"BMTC Bus Commute",IF(OR(ISNUMBER(SEARCH("SWIGGY",C245)),ISNUMBER(SEARCH("ZOMATO",C245)),ISNUMBER(SEARCH("CANTEEN",C245)),ISNUMBER(SEARCH("LUNCH",C245)),ISNUMBER(SEARCH("FOOD",C245)),ISNUMBER(SEARCH("SUBWAY",C245))),"Daily Office Lunch (Mon–Sat)",IF(OR(ISNUMBER(SEARCH("BLINKIT",C245)),ISNUMBER(SEARCH("ZEPTO",C245)),ISNUMBER(SEARCH("RECHARGE",C245)),ISNUMBER(SEARCH("JIO",C245)),ISNUMBER(SEARCH("AIRTEL",C245)),ISNUMBER(SEARCH("PHARMACY",C245)),ISNUMBER(SEARCH("APOLLO",C245)),ISNUMBER(SEARCH("ESSENTIALS",C245)),ISNUMBER(SEARCH("LIFESTYLE",C245))),"Lifestyle &amp; Personal Essentials",IF(OR(ISNUMBER(SEARCH("EMERGENCY",C245)),ISNUMBER(SEARCH("SWEEP",C245)),ISNUMBER(SEARCH("RESERVE",C245))),"Emergency Fund Allocation","Unallocated Flex Buffer")))))))))</f>
        <v/>
      </c>
      <c r="J245" s="39" t="inlineStr"/>
      <c r="K245" s="23">
        <f>IF(C245="","",IF(J245&lt;&gt;"",J245,I245))</f>
        <v/>
      </c>
      <c r="L245" s="40">
        <f>IF(A245="","",IF(ISNUMBER(A245),TEXT(A245,"mmm-yyyy"),"Oct-2026"))</f>
        <v/>
      </c>
      <c r="M245" s="40">
        <f>IF(D245&gt;=5000,"🚨 High Value Debit (₹"&amp;TEXT(D245,"#,##0")&amp;")",IF(D245&gt;=1000,"⚡ Notable Expense","—"))</f>
        <v/>
      </c>
    </row>
    <row r="246">
      <c r="A246" s="39" t="inlineStr"/>
      <c r="B246" s="39" t="inlineStr"/>
      <c r="C246" s="39" t="inlineStr"/>
      <c r="D246" s="41" t="inlineStr"/>
      <c r="E246" s="41" t="inlineStr"/>
      <c r="F246" s="41" t="inlineStr"/>
      <c r="G246" s="39" t="inlineStr"/>
      <c r="H246" s="26">
        <f>IF(C246="","",IF(E246&gt;0,"INCOME",IF(D246&gt;0,"EXPENSE","NEUTRAL")))</f>
        <v/>
      </c>
      <c r="I246" s="39">
        <f>IF(C246="","",=IF(OR(ISNUMBER(SEARCH("STIPEND",C246)),ISNUMBER(SEARCH("SIGMASOFT",C246)),ISNUMBER(SEARCH("SALARY",C246))),"Internship Stipend",IF(OR(ISNUMBER(SEARCH("FAMILY",C246)),ISNUMBER(SEARCH("PAPA",C246)),ISNUMBER(SEARCH("MOM",C246)),ISNUMBER(SEARCH("FATHER",C246))),"Family Support",IF(OR(ISNUMBER(SEARCH("PG",C246)),ISNUMBER(SEARCH("RENT",C246)),ISNUMBER(SEARCH("STANZA",C246)),ISNUMBER(SEARCH("ZOLO",C246))),"PG Rent &amp; Covered Meals",IF(OR(ISNUMBER(SEARCH("GROWW",C246)),ISNUMBER(SEARCH("ZERODHA",C246)),ISNUMBER(SEARCH("MUTUAL",C246)),ISNUMBER(SEARCH("SIP",C246)),ISNUMBER(SEARCH("NIPPON",C246))),"Monthly SIP Investment",IF(OR(ISNUMBER(SEARCH("BMTC",C246)),ISNUMBER(SEARCH("BUS",C246)),ISNUMBER(SEARCH("METRO",C246)),ISNUMBER(SEARCH("CHALO",C246))),"BMTC Bus Commute",IF(OR(ISNUMBER(SEARCH("SWIGGY",C246)),ISNUMBER(SEARCH("ZOMATO",C246)),ISNUMBER(SEARCH("CANTEEN",C246)),ISNUMBER(SEARCH("LUNCH",C246)),ISNUMBER(SEARCH("FOOD",C246)),ISNUMBER(SEARCH("SUBWAY",C246))),"Daily Office Lunch (Mon–Sat)",IF(OR(ISNUMBER(SEARCH("BLINKIT",C246)),ISNUMBER(SEARCH("ZEPTO",C246)),ISNUMBER(SEARCH("RECHARGE",C246)),ISNUMBER(SEARCH("JIO",C246)),ISNUMBER(SEARCH("AIRTEL",C246)),ISNUMBER(SEARCH("PHARMACY",C246)),ISNUMBER(SEARCH("APOLLO",C246)),ISNUMBER(SEARCH("ESSENTIALS",C246)),ISNUMBER(SEARCH("LIFESTYLE",C246))),"Lifestyle &amp; Personal Essentials",IF(OR(ISNUMBER(SEARCH("EMERGENCY",C246)),ISNUMBER(SEARCH("SWEEP",C246)),ISNUMBER(SEARCH("RESERVE",C246))),"Emergency Fund Allocation","Unallocated Flex Buffer")))))))))</f>
        <v/>
      </c>
      <c r="J246" s="39" t="inlineStr"/>
      <c r="K246" s="23">
        <f>IF(C246="","",IF(J246&lt;&gt;"",J246,I246))</f>
        <v/>
      </c>
      <c r="L246" s="40">
        <f>IF(A246="","",IF(ISNUMBER(A246),TEXT(A246,"mmm-yyyy"),"Oct-2026"))</f>
        <v/>
      </c>
      <c r="M246" s="40">
        <f>IF(D246&gt;=5000,"🚨 High Value Debit (₹"&amp;TEXT(D246,"#,##0")&amp;")",IF(D246&gt;=1000,"⚡ Notable Expense","—"))</f>
        <v/>
      </c>
    </row>
    <row r="247">
      <c r="A247" s="39" t="inlineStr"/>
      <c r="B247" s="39" t="inlineStr"/>
      <c r="C247" s="39" t="inlineStr"/>
      <c r="D247" s="41" t="inlineStr"/>
      <c r="E247" s="41" t="inlineStr"/>
      <c r="F247" s="41" t="inlineStr"/>
      <c r="G247" s="39" t="inlineStr"/>
      <c r="H247" s="26">
        <f>IF(C247="","",IF(E247&gt;0,"INCOME",IF(D247&gt;0,"EXPENSE","NEUTRAL")))</f>
        <v/>
      </c>
      <c r="I247" s="39">
        <f>IF(C247="","",=IF(OR(ISNUMBER(SEARCH("STIPEND",C247)),ISNUMBER(SEARCH("SIGMASOFT",C247)),ISNUMBER(SEARCH("SALARY",C247))),"Internship Stipend",IF(OR(ISNUMBER(SEARCH("FAMILY",C247)),ISNUMBER(SEARCH("PAPA",C247)),ISNUMBER(SEARCH("MOM",C247)),ISNUMBER(SEARCH("FATHER",C247))),"Family Support",IF(OR(ISNUMBER(SEARCH("PG",C247)),ISNUMBER(SEARCH("RENT",C247)),ISNUMBER(SEARCH("STANZA",C247)),ISNUMBER(SEARCH("ZOLO",C247))),"PG Rent &amp; Covered Meals",IF(OR(ISNUMBER(SEARCH("GROWW",C247)),ISNUMBER(SEARCH("ZERODHA",C247)),ISNUMBER(SEARCH("MUTUAL",C247)),ISNUMBER(SEARCH("SIP",C247)),ISNUMBER(SEARCH("NIPPON",C247))),"Monthly SIP Investment",IF(OR(ISNUMBER(SEARCH("BMTC",C247)),ISNUMBER(SEARCH("BUS",C247)),ISNUMBER(SEARCH("METRO",C247)),ISNUMBER(SEARCH("CHALO",C247))),"BMTC Bus Commute",IF(OR(ISNUMBER(SEARCH("SWIGGY",C247)),ISNUMBER(SEARCH("ZOMATO",C247)),ISNUMBER(SEARCH("CANTEEN",C247)),ISNUMBER(SEARCH("LUNCH",C247)),ISNUMBER(SEARCH("FOOD",C247)),ISNUMBER(SEARCH("SUBWAY",C247))),"Daily Office Lunch (Mon–Sat)",IF(OR(ISNUMBER(SEARCH("BLINKIT",C247)),ISNUMBER(SEARCH("ZEPTO",C247)),ISNUMBER(SEARCH("RECHARGE",C247)),ISNUMBER(SEARCH("JIO",C247)),ISNUMBER(SEARCH("AIRTEL",C247)),ISNUMBER(SEARCH("PHARMACY",C247)),ISNUMBER(SEARCH("APOLLO",C247)),ISNUMBER(SEARCH("ESSENTIALS",C247)),ISNUMBER(SEARCH("LIFESTYLE",C247))),"Lifestyle &amp; Personal Essentials",IF(OR(ISNUMBER(SEARCH("EMERGENCY",C247)),ISNUMBER(SEARCH("SWEEP",C247)),ISNUMBER(SEARCH("RESERVE",C247))),"Emergency Fund Allocation","Unallocated Flex Buffer")))))))))</f>
        <v/>
      </c>
      <c r="J247" s="39" t="inlineStr"/>
      <c r="K247" s="23">
        <f>IF(C247="","",IF(J247&lt;&gt;"",J247,I247))</f>
        <v/>
      </c>
      <c r="L247" s="40">
        <f>IF(A247="","",IF(ISNUMBER(A247),TEXT(A247,"mmm-yyyy"),"Oct-2026"))</f>
        <v/>
      </c>
      <c r="M247" s="40">
        <f>IF(D247&gt;=5000,"🚨 High Value Debit (₹"&amp;TEXT(D247,"#,##0")&amp;")",IF(D247&gt;=1000,"⚡ Notable Expense","—"))</f>
        <v/>
      </c>
    </row>
    <row r="248">
      <c r="A248" s="39" t="inlineStr"/>
      <c r="B248" s="39" t="inlineStr"/>
      <c r="C248" s="39" t="inlineStr"/>
      <c r="D248" s="41" t="inlineStr"/>
      <c r="E248" s="41" t="inlineStr"/>
      <c r="F248" s="41" t="inlineStr"/>
      <c r="G248" s="39" t="inlineStr"/>
      <c r="H248" s="26">
        <f>IF(C248="","",IF(E248&gt;0,"INCOME",IF(D248&gt;0,"EXPENSE","NEUTRAL")))</f>
        <v/>
      </c>
      <c r="I248" s="39">
        <f>IF(C248="","",=IF(OR(ISNUMBER(SEARCH("STIPEND",C248)),ISNUMBER(SEARCH("SIGMASOFT",C248)),ISNUMBER(SEARCH("SALARY",C248))),"Internship Stipend",IF(OR(ISNUMBER(SEARCH("FAMILY",C248)),ISNUMBER(SEARCH("PAPA",C248)),ISNUMBER(SEARCH("MOM",C248)),ISNUMBER(SEARCH("FATHER",C248))),"Family Support",IF(OR(ISNUMBER(SEARCH("PG",C248)),ISNUMBER(SEARCH("RENT",C248)),ISNUMBER(SEARCH("STANZA",C248)),ISNUMBER(SEARCH("ZOLO",C248))),"PG Rent &amp; Covered Meals",IF(OR(ISNUMBER(SEARCH("GROWW",C248)),ISNUMBER(SEARCH("ZERODHA",C248)),ISNUMBER(SEARCH("MUTUAL",C248)),ISNUMBER(SEARCH("SIP",C248)),ISNUMBER(SEARCH("NIPPON",C248))),"Monthly SIP Investment",IF(OR(ISNUMBER(SEARCH("BMTC",C248)),ISNUMBER(SEARCH("BUS",C248)),ISNUMBER(SEARCH("METRO",C248)),ISNUMBER(SEARCH("CHALO",C248))),"BMTC Bus Commute",IF(OR(ISNUMBER(SEARCH("SWIGGY",C248)),ISNUMBER(SEARCH("ZOMATO",C248)),ISNUMBER(SEARCH("CANTEEN",C248)),ISNUMBER(SEARCH("LUNCH",C248)),ISNUMBER(SEARCH("FOOD",C248)),ISNUMBER(SEARCH("SUBWAY",C248))),"Daily Office Lunch (Mon–Sat)",IF(OR(ISNUMBER(SEARCH("BLINKIT",C248)),ISNUMBER(SEARCH("ZEPTO",C248)),ISNUMBER(SEARCH("RECHARGE",C248)),ISNUMBER(SEARCH("JIO",C248)),ISNUMBER(SEARCH("AIRTEL",C248)),ISNUMBER(SEARCH("PHARMACY",C248)),ISNUMBER(SEARCH("APOLLO",C248)),ISNUMBER(SEARCH("ESSENTIALS",C248)),ISNUMBER(SEARCH("LIFESTYLE",C248))),"Lifestyle &amp; Personal Essentials",IF(OR(ISNUMBER(SEARCH("EMERGENCY",C248)),ISNUMBER(SEARCH("SWEEP",C248)),ISNUMBER(SEARCH("RESERVE",C248))),"Emergency Fund Allocation","Unallocated Flex Buffer")))))))))</f>
        <v/>
      </c>
      <c r="J248" s="39" t="inlineStr"/>
      <c r="K248" s="23">
        <f>IF(C248="","",IF(J248&lt;&gt;"",J248,I248))</f>
        <v/>
      </c>
      <c r="L248" s="40">
        <f>IF(A248="","",IF(ISNUMBER(A248),TEXT(A248,"mmm-yyyy"),"Oct-2026"))</f>
        <v/>
      </c>
      <c r="M248" s="40">
        <f>IF(D248&gt;=5000,"🚨 High Value Debit (₹"&amp;TEXT(D248,"#,##0")&amp;")",IF(D248&gt;=1000,"⚡ Notable Expense","—"))</f>
        <v/>
      </c>
    </row>
    <row r="249">
      <c r="A249" s="39" t="inlineStr"/>
      <c r="B249" s="39" t="inlineStr"/>
      <c r="C249" s="39" t="inlineStr"/>
      <c r="D249" s="41" t="inlineStr"/>
      <c r="E249" s="41" t="inlineStr"/>
      <c r="F249" s="41" t="inlineStr"/>
      <c r="G249" s="39" t="inlineStr"/>
      <c r="H249" s="26">
        <f>IF(C249="","",IF(E249&gt;0,"INCOME",IF(D249&gt;0,"EXPENSE","NEUTRAL")))</f>
        <v/>
      </c>
      <c r="I249" s="39">
        <f>IF(C249="","",=IF(OR(ISNUMBER(SEARCH("STIPEND",C249)),ISNUMBER(SEARCH("SIGMASOFT",C249)),ISNUMBER(SEARCH("SALARY",C249))),"Internship Stipend",IF(OR(ISNUMBER(SEARCH("FAMILY",C249)),ISNUMBER(SEARCH("PAPA",C249)),ISNUMBER(SEARCH("MOM",C249)),ISNUMBER(SEARCH("FATHER",C249))),"Family Support",IF(OR(ISNUMBER(SEARCH("PG",C249)),ISNUMBER(SEARCH("RENT",C249)),ISNUMBER(SEARCH("STANZA",C249)),ISNUMBER(SEARCH("ZOLO",C249))),"PG Rent &amp; Covered Meals",IF(OR(ISNUMBER(SEARCH("GROWW",C249)),ISNUMBER(SEARCH("ZERODHA",C249)),ISNUMBER(SEARCH("MUTUAL",C249)),ISNUMBER(SEARCH("SIP",C249)),ISNUMBER(SEARCH("NIPPON",C249))),"Monthly SIP Investment",IF(OR(ISNUMBER(SEARCH("BMTC",C249)),ISNUMBER(SEARCH("BUS",C249)),ISNUMBER(SEARCH("METRO",C249)),ISNUMBER(SEARCH("CHALO",C249))),"BMTC Bus Commute",IF(OR(ISNUMBER(SEARCH("SWIGGY",C249)),ISNUMBER(SEARCH("ZOMATO",C249)),ISNUMBER(SEARCH("CANTEEN",C249)),ISNUMBER(SEARCH("LUNCH",C249)),ISNUMBER(SEARCH("FOOD",C249)),ISNUMBER(SEARCH("SUBWAY",C249))),"Daily Office Lunch (Mon–Sat)",IF(OR(ISNUMBER(SEARCH("BLINKIT",C249)),ISNUMBER(SEARCH("ZEPTO",C249)),ISNUMBER(SEARCH("RECHARGE",C249)),ISNUMBER(SEARCH("JIO",C249)),ISNUMBER(SEARCH("AIRTEL",C249)),ISNUMBER(SEARCH("PHARMACY",C249)),ISNUMBER(SEARCH("APOLLO",C249)),ISNUMBER(SEARCH("ESSENTIALS",C249)),ISNUMBER(SEARCH("LIFESTYLE",C249))),"Lifestyle &amp; Personal Essentials",IF(OR(ISNUMBER(SEARCH("EMERGENCY",C249)),ISNUMBER(SEARCH("SWEEP",C249)),ISNUMBER(SEARCH("RESERVE",C249))),"Emergency Fund Allocation","Unallocated Flex Buffer")))))))))</f>
        <v/>
      </c>
      <c r="J249" s="39" t="inlineStr"/>
      <c r="K249" s="23">
        <f>IF(C249="","",IF(J249&lt;&gt;"",J249,I249))</f>
        <v/>
      </c>
      <c r="L249" s="40">
        <f>IF(A249="","",IF(ISNUMBER(A249),TEXT(A249,"mmm-yyyy"),"Oct-2026"))</f>
        <v/>
      </c>
      <c r="M249" s="40">
        <f>IF(D249&gt;=5000,"🚨 High Value Debit (₹"&amp;TEXT(D249,"#,##0")&amp;")",IF(D249&gt;=1000,"⚡ Notable Expense","—"))</f>
        <v/>
      </c>
    </row>
    <row r="250">
      <c r="A250" s="39" t="inlineStr"/>
      <c r="B250" s="39" t="inlineStr"/>
      <c r="C250" s="39" t="inlineStr"/>
      <c r="D250" s="41" t="inlineStr"/>
      <c r="E250" s="41" t="inlineStr"/>
      <c r="F250" s="41" t="inlineStr"/>
      <c r="G250" s="39" t="inlineStr"/>
      <c r="H250" s="26">
        <f>IF(C250="","",IF(E250&gt;0,"INCOME",IF(D250&gt;0,"EXPENSE","NEUTRAL")))</f>
        <v/>
      </c>
      <c r="I250" s="39">
        <f>IF(C250="","",=IF(OR(ISNUMBER(SEARCH("STIPEND",C250)),ISNUMBER(SEARCH("SIGMASOFT",C250)),ISNUMBER(SEARCH("SALARY",C250))),"Internship Stipend",IF(OR(ISNUMBER(SEARCH("FAMILY",C250)),ISNUMBER(SEARCH("PAPA",C250)),ISNUMBER(SEARCH("MOM",C250)),ISNUMBER(SEARCH("FATHER",C250))),"Family Support",IF(OR(ISNUMBER(SEARCH("PG",C250)),ISNUMBER(SEARCH("RENT",C250)),ISNUMBER(SEARCH("STANZA",C250)),ISNUMBER(SEARCH("ZOLO",C250))),"PG Rent &amp; Covered Meals",IF(OR(ISNUMBER(SEARCH("GROWW",C250)),ISNUMBER(SEARCH("ZERODHA",C250)),ISNUMBER(SEARCH("MUTUAL",C250)),ISNUMBER(SEARCH("SIP",C250)),ISNUMBER(SEARCH("NIPPON",C250))),"Monthly SIP Investment",IF(OR(ISNUMBER(SEARCH("BMTC",C250)),ISNUMBER(SEARCH("BUS",C250)),ISNUMBER(SEARCH("METRO",C250)),ISNUMBER(SEARCH("CHALO",C250))),"BMTC Bus Commute",IF(OR(ISNUMBER(SEARCH("SWIGGY",C250)),ISNUMBER(SEARCH("ZOMATO",C250)),ISNUMBER(SEARCH("CANTEEN",C250)),ISNUMBER(SEARCH("LUNCH",C250)),ISNUMBER(SEARCH("FOOD",C250)),ISNUMBER(SEARCH("SUBWAY",C250))),"Daily Office Lunch (Mon–Sat)",IF(OR(ISNUMBER(SEARCH("BLINKIT",C250)),ISNUMBER(SEARCH("ZEPTO",C250)),ISNUMBER(SEARCH("RECHARGE",C250)),ISNUMBER(SEARCH("JIO",C250)),ISNUMBER(SEARCH("AIRTEL",C250)),ISNUMBER(SEARCH("PHARMACY",C250)),ISNUMBER(SEARCH("APOLLO",C250)),ISNUMBER(SEARCH("ESSENTIALS",C250)),ISNUMBER(SEARCH("LIFESTYLE",C250))),"Lifestyle &amp; Personal Essentials",IF(OR(ISNUMBER(SEARCH("EMERGENCY",C250)),ISNUMBER(SEARCH("SWEEP",C250)),ISNUMBER(SEARCH("RESERVE",C250))),"Emergency Fund Allocation","Unallocated Flex Buffer")))))))))</f>
        <v/>
      </c>
      <c r="J250" s="39" t="inlineStr"/>
      <c r="K250" s="23">
        <f>IF(C250="","",IF(J250&lt;&gt;"",J250,I250))</f>
        <v/>
      </c>
      <c r="L250" s="40">
        <f>IF(A250="","",IF(ISNUMBER(A250),TEXT(A250,"mmm-yyyy"),"Oct-2026"))</f>
        <v/>
      </c>
      <c r="M250" s="40">
        <f>IF(D250&gt;=5000,"🚨 High Value Debit (₹"&amp;TEXT(D250,"#,##0")&amp;")",IF(D250&gt;=1000,"⚡ Notable Expense","—"))</f>
        <v/>
      </c>
    </row>
    <row r="251">
      <c r="A251" s="39" t="inlineStr"/>
      <c r="B251" s="39" t="inlineStr"/>
      <c r="C251" s="39" t="inlineStr"/>
      <c r="D251" s="41" t="inlineStr"/>
      <c r="E251" s="41" t="inlineStr"/>
      <c r="F251" s="41" t="inlineStr"/>
      <c r="G251" s="39" t="inlineStr"/>
      <c r="H251" s="26">
        <f>IF(C251="","",IF(E251&gt;0,"INCOME",IF(D251&gt;0,"EXPENSE","NEUTRAL")))</f>
        <v/>
      </c>
      <c r="I251" s="39">
        <f>IF(C251="","",=IF(OR(ISNUMBER(SEARCH("STIPEND",C251)),ISNUMBER(SEARCH("SIGMASOFT",C251)),ISNUMBER(SEARCH("SALARY",C251))),"Internship Stipend",IF(OR(ISNUMBER(SEARCH("FAMILY",C251)),ISNUMBER(SEARCH("PAPA",C251)),ISNUMBER(SEARCH("MOM",C251)),ISNUMBER(SEARCH("FATHER",C251))),"Family Support",IF(OR(ISNUMBER(SEARCH("PG",C251)),ISNUMBER(SEARCH("RENT",C251)),ISNUMBER(SEARCH("STANZA",C251)),ISNUMBER(SEARCH("ZOLO",C251))),"PG Rent &amp; Covered Meals",IF(OR(ISNUMBER(SEARCH("GROWW",C251)),ISNUMBER(SEARCH("ZERODHA",C251)),ISNUMBER(SEARCH("MUTUAL",C251)),ISNUMBER(SEARCH("SIP",C251)),ISNUMBER(SEARCH("NIPPON",C251))),"Monthly SIP Investment",IF(OR(ISNUMBER(SEARCH("BMTC",C251)),ISNUMBER(SEARCH("BUS",C251)),ISNUMBER(SEARCH("METRO",C251)),ISNUMBER(SEARCH("CHALO",C251))),"BMTC Bus Commute",IF(OR(ISNUMBER(SEARCH("SWIGGY",C251)),ISNUMBER(SEARCH("ZOMATO",C251)),ISNUMBER(SEARCH("CANTEEN",C251)),ISNUMBER(SEARCH("LUNCH",C251)),ISNUMBER(SEARCH("FOOD",C251)),ISNUMBER(SEARCH("SUBWAY",C251))),"Daily Office Lunch (Mon–Sat)",IF(OR(ISNUMBER(SEARCH("BLINKIT",C251)),ISNUMBER(SEARCH("ZEPTO",C251)),ISNUMBER(SEARCH("RECHARGE",C251)),ISNUMBER(SEARCH("JIO",C251)),ISNUMBER(SEARCH("AIRTEL",C251)),ISNUMBER(SEARCH("PHARMACY",C251)),ISNUMBER(SEARCH("APOLLO",C251)),ISNUMBER(SEARCH("ESSENTIALS",C251)),ISNUMBER(SEARCH("LIFESTYLE",C251))),"Lifestyle &amp; Personal Essentials",IF(OR(ISNUMBER(SEARCH("EMERGENCY",C251)),ISNUMBER(SEARCH("SWEEP",C251)),ISNUMBER(SEARCH("RESERVE",C251))),"Emergency Fund Allocation","Unallocated Flex Buffer")))))))))</f>
        <v/>
      </c>
      <c r="J251" s="39" t="inlineStr"/>
      <c r="K251" s="23">
        <f>IF(C251="","",IF(J251&lt;&gt;"",J251,I251))</f>
        <v/>
      </c>
      <c r="L251" s="40">
        <f>IF(A251="","",IF(ISNUMBER(A251),TEXT(A251,"mmm-yyyy"),"Oct-2026"))</f>
        <v/>
      </c>
      <c r="M251" s="40">
        <f>IF(D251&gt;=5000,"🚨 High Value Debit (₹"&amp;TEXT(D251,"#,##0")&amp;")",IF(D251&gt;=1000,"⚡ Notable Expense","—"))</f>
        <v/>
      </c>
    </row>
    <row r="252">
      <c r="A252" s="39" t="inlineStr"/>
      <c r="B252" s="39" t="inlineStr"/>
      <c r="C252" s="39" t="inlineStr"/>
      <c r="D252" s="41" t="inlineStr"/>
      <c r="E252" s="41" t="inlineStr"/>
      <c r="F252" s="41" t="inlineStr"/>
      <c r="G252" s="39" t="inlineStr"/>
      <c r="H252" s="26">
        <f>IF(C252="","",IF(E252&gt;0,"INCOME",IF(D252&gt;0,"EXPENSE","NEUTRAL")))</f>
        <v/>
      </c>
      <c r="I252" s="39">
        <f>IF(C252="","",=IF(OR(ISNUMBER(SEARCH("STIPEND",C252)),ISNUMBER(SEARCH("SIGMASOFT",C252)),ISNUMBER(SEARCH("SALARY",C252))),"Internship Stipend",IF(OR(ISNUMBER(SEARCH("FAMILY",C252)),ISNUMBER(SEARCH("PAPA",C252)),ISNUMBER(SEARCH("MOM",C252)),ISNUMBER(SEARCH("FATHER",C252))),"Family Support",IF(OR(ISNUMBER(SEARCH("PG",C252)),ISNUMBER(SEARCH("RENT",C252)),ISNUMBER(SEARCH("STANZA",C252)),ISNUMBER(SEARCH("ZOLO",C252))),"PG Rent &amp; Covered Meals",IF(OR(ISNUMBER(SEARCH("GROWW",C252)),ISNUMBER(SEARCH("ZERODHA",C252)),ISNUMBER(SEARCH("MUTUAL",C252)),ISNUMBER(SEARCH("SIP",C252)),ISNUMBER(SEARCH("NIPPON",C252))),"Monthly SIP Investment",IF(OR(ISNUMBER(SEARCH("BMTC",C252)),ISNUMBER(SEARCH("BUS",C252)),ISNUMBER(SEARCH("METRO",C252)),ISNUMBER(SEARCH("CHALO",C252))),"BMTC Bus Commute",IF(OR(ISNUMBER(SEARCH("SWIGGY",C252)),ISNUMBER(SEARCH("ZOMATO",C252)),ISNUMBER(SEARCH("CANTEEN",C252)),ISNUMBER(SEARCH("LUNCH",C252)),ISNUMBER(SEARCH("FOOD",C252)),ISNUMBER(SEARCH("SUBWAY",C252))),"Daily Office Lunch (Mon–Sat)",IF(OR(ISNUMBER(SEARCH("BLINKIT",C252)),ISNUMBER(SEARCH("ZEPTO",C252)),ISNUMBER(SEARCH("RECHARGE",C252)),ISNUMBER(SEARCH("JIO",C252)),ISNUMBER(SEARCH("AIRTEL",C252)),ISNUMBER(SEARCH("PHARMACY",C252)),ISNUMBER(SEARCH("APOLLO",C252)),ISNUMBER(SEARCH("ESSENTIALS",C252)),ISNUMBER(SEARCH("LIFESTYLE",C252))),"Lifestyle &amp; Personal Essentials",IF(OR(ISNUMBER(SEARCH("EMERGENCY",C252)),ISNUMBER(SEARCH("SWEEP",C252)),ISNUMBER(SEARCH("RESERVE",C252))),"Emergency Fund Allocation","Unallocated Flex Buffer")))))))))</f>
        <v/>
      </c>
      <c r="J252" s="39" t="inlineStr"/>
      <c r="K252" s="23">
        <f>IF(C252="","",IF(J252&lt;&gt;"",J252,I252))</f>
        <v/>
      </c>
      <c r="L252" s="40">
        <f>IF(A252="","",IF(ISNUMBER(A252),TEXT(A252,"mmm-yyyy"),"Oct-2026"))</f>
        <v/>
      </c>
      <c r="M252" s="40">
        <f>IF(D252&gt;=5000,"🚨 High Value Debit (₹"&amp;TEXT(D252,"#,##0")&amp;")",IF(D252&gt;=1000,"⚡ Notable Expense","—"))</f>
        <v/>
      </c>
    </row>
    <row r="253">
      <c r="A253" s="39" t="inlineStr"/>
      <c r="B253" s="39" t="inlineStr"/>
      <c r="C253" s="39" t="inlineStr"/>
      <c r="D253" s="41" t="inlineStr"/>
      <c r="E253" s="41" t="inlineStr"/>
      <c r="F253" s="41" t="inlineStr"/>
      <c r="G253" s="39" t="inlineStr"/>
      <c r="H253" s="26">
        <f>IF(C253="","",IF(E253&gt;0,"INCOME",IF(D253&gt;0,"EXPENSE","NEUTRAL")))</f>
        <v/>
      </c>
      <c r="I253" s="39">
        <f>IF(C253="","",=IF(OR(ISNUMBER(SEARCH("STIPEND",C253)),ISNUMBER(SEARCH("SIGMASOFT",C253)),ISNUMBER(SEARCH("SALARY",C253))),"Internship Stipend",IF(OR(ISNUMBER(SEARCH("FAMILY",C253)),ISNUMBER(SEARCH("PAPA",C253)),ISNUMBER(SEARCH("MOM",C253)),ISNUMBER(SEARCH("FATHER",C253))),"Family Support",IF(OR(ISNUMBER(SEARCH("PG",C253)),ISNUMBER(SEARCH("RENT",C253)),ISNUMBER(SEARCH("STANZA",C253)),ISNUMBER(SEARCH("ZOLO",C253))),"PG Rent &amp; Covered Meals",IF(OR(ISNUMBER(SEARCH("GROWW",C253)),ISNUMBER(SEARCH("ZERODHA",C253)),ISNUMBER(SEARCH("MUTUAL",C253)),ISNUMBER(SEARCH("SIP",C253)),ISNUMBER(SEARCH("NIPPON",C253))),"Monthly SIP Investment",IF(OR(ISNUMBER(SEARCH("BMTC",C253)),ISNUMBER(SEARCH("BUS",C253)),ISNUMBER(SEARCH("METRO",C253)),ISNUMBER(SEARCH("CHALO",C253))),"BMTC Bus Commute",IF(OR(ISNUMBER(SEARCH("SWIGGY",C253)),ISNUMBER(SEARCH("ZOMATO",C253)),ISNUMBER(SEARCH("CANTEEN",C253)),ISNUMBER(SEARCH("LUNCH",C253)),ISNUMBER(SEARCH("FOOD",C253)),ISNUMBER(SEARCH("SUBWAY",C253))),"Daily Office Lunch (Mon–Sat)",IF(OR(ISNUMBER(SEARCH("BLINKIT",C253)),ISNUMBER(SEARCH("ZEPTO",C253)),ISNUMBER(SEARCH("RECHARGE",C253)),ISNUMBER(SEARCH("JIO",C253)),ISNUMBER(SEARCH("AIRTEL",C253)),ISNUMBER(SEARCH("PHARMACY",C253)),ISNUMBER(SEARCH("APOLLO",C253)),ISNUMBER(SEARCH("ESSENTIALS",C253)),ISNUMBER(SEARCH("LIFESTYLE",C253))),"Lifestyle &amp; Personal Essentials",IF(OR(ISNUMBER(SEARCH("EMERGENCY",C253)),ISNUMBER(SEARCH("SWEEP",C253)),ISNUMBER(SEARCH("RESERVE",C253))),"Emergency Fund Allocation","Unallocated Flex Buffer")))))))))</f>
        <v/>
      </c>
      <c r="J253" s="39" t="inlineStr"/>
      <c r="K253" s="23">
        <f>IF(C253="","",IF(J253&lt;&gt;"",J253,I253))</f>
        <v/>
      </c>
      <c r="L253" s="40">
        <f>IF(A253="","",IF(ISNUMBER(A253),TEXT(A253,"mmm-yyyy"),"Oct-2026"))</f>
        <v/>
      </c>
      <c r="M253" s="40">
        <f>IF(D253&gt;=5000,"🚨 High Value Debit (₹"&amp;TEXT(D253,"#,##0")&amp;")",IF(D253&gt;=1000,"⚡ Notable Expense","—"))</f>
        <v/>
      </c>
    </row>
    <row r="254">
      <c r="A254" s="39" t="inlineStr"/>
      <c r="B254" s="39" t="inlineStr"/>
      <c r="C254" s="39" t="inlineStr"/>
      <c r="D254" s="41" t="inlineStr"/>
      <c r="E254" s="41" t="inlineStr"/>
      <c r="F254" s="41" t="inlineStr"/>
      <c r="G254" s="39" t="inlineStr"/>
      <c r="H254" s="26">
        <f>IF(C254="","",IF(E254&gt;0,"INCOME",IF(D254&gt;0,"EXPENSE","NEUTRAL")))</f>
        <v/>
      </c>
      <c r="I254" s="39">
        <f>IF(C254="","",=IF(OR(ISNUMBER(SEARCH("STIPEND",C254)),ISNUMBER(SEARCH("SIGMASOFT",C254)),ISNUMBER(SEARCH("SALARY",C254))),"Internship Stipend",IF(OR(ISNUMBER(SEARCH("FAMILY",C254)),ISNUMBER(SEARCH("PAPA",C254)),ISNUMBER(SEARCH("MOM",C254)),ISNUMBER(SEARCH("FATHER",C254))),"Family Support",IF(OR(ISNUMBER(SEARCH("PG",C254)),ISNUMBER(SEARCH("RENT",C254)),ISNUMBER(SEARCH("STANZA",C254)),ISNUMBER(SEARCH("ZOLO",C254))),"PG Rent &amp; Covered Meals",IF(OR(ISNUMBER(SEARCH("GROWW",C254)),ISNUMBER(SEARCH("ZERODHA",C254)),ISNUMBER(SEARCH("MUTUAL",C254)),ISNUMBER(SEARCH("SIP",C254)),ISNUMBER(SEARCH("NIPPON",C254))),"Monthly SIP Investment",IF(OR(ISNUMBER(SEARCH("BMTC",C254)),ISNUMBER(SEARCH("BUS",C254)),ISNUMBER(SEARCH("METRO",C254)),ISNUMBER(SEARCH("CHALO",C254))),"BMTC Bus Commute",IF(OR(ISNUMBER(SEARCH("SWIGGY",C254)),ISNUMBER(SEARCH("ZOMATO",C254)),ISNUMBER(SEARCH("CANTEEN",C254)),ISNUMBER(SEARCH("LUNCH",C254)),ISNUMBER(SEARCH("FOOD",C254)),ISNUMBER(SEARCH("SUBWAY",C254))),"Daily Office Lunch (Mon–Sat)",IF(OR(ISNUMBER(SEARCH("BLINKIT",C254)),ISNUMBER(SEARCH("ZEPTO",C254)),ISNUMBER(SEARCH("RECHARGE",C254)),ISNUMBER(SEARCH("JIO",C254)),ISNUMBER(SEARCH("AIRTEL",C254)),ISNUMBER(SEARCH("PHARMACY",C254)),ISNUMBER(SEARCH("APOLLO",C254)),ISNUMBER(SEARCH("ESSENTIALS",C254)),ISNUMBER(SEARCH("LIFESTYLE",C254))),"Lifestyle &amp; Personal Essentials",IF(OR(ISNUMBER(SEARCH("EMERGENCY",C254)),ISNUMBER(SEARCH("SWEEP",C254)),ISNUMBER(SEARCH("RESERVE",C254))),"Emergency Fund Allocation","Unallocated Flex Buffer")))))))))</f>
        <v/>
      </c>
      <c r="J254" s="39" t="inlineStr"/>
      <c r="K254" s="23">
        <f>IF(C254="","",IF(J254&lt;&gt;"",J254,I254))</f>
        <v/>
      </c>
      <c r="L254" s="40">
        <f>IF(A254="","",IF(ISNUMBER(A254),TEXT(A254,"mmm-yyyy"),"Oct-2026"))</f>
        <v/>
      </c>
      <c r="M254" s="40">
        <f>IF(D254&gt;=5000,"🚨 High Value Debit (₹"&amp;TEXT(D254,"#,##0")&amp;")",IF(D254&gt;=1000,"⚡ Notable Expense","—"))</f>
        <v/>
      </c>
    </row>
    <row r="255">
      <c r="A255" s="39" t="inlineStr"/>
      <c r="B255" s="39" t="inlineStr"/>
      <c r="C255" s="39" t="inlineStr"/>
      <c r="D255" s="41" t="inlineStr"/>
      <c r="E255" s="41" t="inlineStr"/>
      <c r="F255" s="41" t="inlineStr"/>
      <c r="G255" s="39" t="inlineStr"/>
      <c r="H255" s="26">
        <f>IF(C255="","",IF(E255&gt;0,"INCOME",IF(D255&gt;0,"EXPENSE","NEUTRAL")))</f>
        <v/>
      </c>
      <c r="I255" s="39">
        <f>IF(C255="","",=IF(OR(ISNUMBER(SEARCH("STIPEND",C255)),ISNUMBER(SEARCH("SIGMASOFT",C255)),ISNUMBER(SEARCH("SALARY",C255))),"Internship Stipend",IF(OR(ISNUMBER(SEARCH("FAMILY",C255)),ISNUMBER(SEARCH("PAPA",C255)),ISNUMBER(SEARCH("MOM",C255)),ISNUMBER(SEARCH("FATHER",C255))),"Family Support",IF(OR(ISNUMBER(SEARCH("PG",C255)),ISNUMBER(SEARCH("RENT",C255)),ISNUMBER(SEARCH("STANZA",C255)),ISNUMBER(SEARCH("ZOLO",C255))),"PG Rent &amp; Covered Meals",IF(OR(ISNUMBER(SEARCH("GROWW",C255)),ISNUMBER(SEARCH("ZERODHA",C255)),ISNUMBER(SEARCH("MUTUAL",C255)),ISNUMBER(SEARCH("SIP",C255)),ISNUMBER(SEARCH("NIPPON",C255))),"Monthly SIP Investment",IF(OR(ISNUMBER(SEARCH("BMTC",C255)),ISNUMBER(SEARCH("BUS",C255)),ISNUMBER(SEARCH("METRO",C255)),ISNUMBER(SEARCH("CHALO",C255))),"BMTC Bus Commute",IF(OR(ISNUMBER(SEARCH("SWIGGY",C255)),ISNUMBER(SEARCH("ZOMATO",C255)),ISNUMBER(SEARCH("CANTEEN",C255)),ISNUMBER(SEARCH("LUNCH",C255)),ISNUMBER(SEARCH("FOOD",C255)),ISNUMBER(SEARCH("SUBWAY",C255))),"Daily Office Lunch (Mon–Sat)",IF(OR(ISNUMBER(SEARCH("BLINKIT",C255)),ISNUMBER(SEARCH("ZEPTO",C255)),ISNUMBER(SEARCH("RECHARGE",C255)),ISNUMBER(SEARCH("JIO",C255)),ISNUMBER(SEARCH("AIRTEL",C255)),ISNUMBER(SEARCH("PHARMACY",C255)),ISNUMBER(SEARCH("APOLLO",C255)),ISNUMBER(SEARCH("ESSENTIALS",C255)),ISNUMBER(SEARCH("LIFESTYLE",C255))),"Lifestyle &amp; Personal Essentials",IF(OR(ISNUMBER(SEARCH("EMERGENCY",C255)),ISNUMBER(SEARCH("SWEEP",C255)),ISNUMBER(SEARCH("RESERVE",C255))),"Emergency Fund Allocation","Unallocated Flex Buffer")))))))))</f>
        <v/>
      </c>
      <c r="J255" s="39" t="inlineStr"/>
      <c r="K255" s="23">
        <f>IF(C255="","",IF(J255&lt;&gt;"",J255,I255))</f>
        <v/>
      </c>
      <c r="L255" s="40">
        <f>IF(A255="","",IF(ISNUMBER(A255),TEXT(A255,"mmm-yyyy"),"Oct-2026"))</f>
        <v/>
      </c>
      <c r="M255" s="40">
        <f>IF(D255&gt;=5000,"🚨 High Value Debit (₹"&amp;TEXT(D255,"#,##0")&amp;")",IF(D255&gt;=1000,"⚡ Notable Expense","—"))</f>
        <v/>
      </c>
    </row>
    <row r="257">
      <c r="A257" s="63" t="n"/>
      <c r="B257" s="63" t="n"/>
      <c r="C257" s="43" t="inlineStr">
        <is>
          <t>Total Statement Debits &amp; Credits:</t>
        </is>
      </c>
      <c r="D257" s="45">
        <f>SUM(D6:D256)</f>
        <v/>
      </c>
      <c r="E257" s="45">
        <f>SUM(E6:E256)</f>
        <v/>
      </c>
      <c r="F257" s="63" t="n"/>
      <c r="G257" s="63" t="n"/>
      <c r="H257" s="63" t="n"/>
      <c r="I257" s="63" t="n"/>
      <c r="J257" s="63" t="n"/>
      <c r="K257" s="63" t="n"/>
      <c r="L257" s="63" t="n"/>
      <c r="M257" s="63" t="n"/>
    </row>
  </sheetData>
  <mergeCells count="1">
    <mergeCell ref="A1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20" customWidth="1" min="3" max="3"/>
    <col width="22" customWidth="1" min="4" max="4"/>
    <col width="14" customWidth="1" min="5" max="5"/>
    <col width="24" customWidth="1" min="6" max="6"/>
    <col width="28" customWidth="1" min="7" max="7"/>
    <col width="22" customWidth="1" min="8" max="8"/>
  </cols>
  <sheetData>
    <row r="1" ht="28" customHeight="1">
      <c r="A1" s="1" t="inlineStr">
        <is>
          <t>📈 Live Budget vs Actual &amp; Over-Budget Leakage Tracker</t>
        </is>
      </c>
    </row>
    <row r="2" ht="20" customHeight="1"/>
    <row r="3">
      <c r="A3" s="2" t="inlineStr">
        <is>
          <t>Real-time comparison between your planned budget model and ingested bank statement entries. Automatically highlights overgrown spending.</t>
        </is>
      </c>
    </row>
    <row r="5">
      <c r="A5" s="19" t="inlineStr">
        <is>
          <t>1. INCOME SOURCES REALIZATION</t>
        </is>
      </c>
    </row>
    <row r="6">
      <c r="A6" s="36" t="inlineStr">
        <is>
          <t>Category / Source</t>
        </is>
      </c>
      <c r="B6" s="37" t="inlineStr">
        <is>
          <t>Type</t>
        </is>
      </c>
      <c r="C6" s="38" t="inlineStr">
        <is>
          <t>Planned Target (₹)</t>
        </is>
      </c>
      <c r="D6" s="38" t="inlineStr">
        <is>
          <t>Actual Received (₹)</t>
        </is>
      </c>
      <c r="E6" s="37" t="inlineStr">
        <is>
          <t>Realization %</t>
        </is>
      </c>
      <c r="F6" s="38" t="inlineStr">
        <is>
          <t>Shortfall / Surplus (₹)</t>
        </is>
      </c>
      <c r="G6" s="37" t="inlineStr">
        <is>
          <t>Status Alert</t>
        </is>
      </c>
      <c r="H6" s="37" t="inlineStr">
        <is>
          <t>Progress</t>
        </is>
      </c>
    </row>
    <row r="7">
      <c r="A7" s="23" t="inlineStr">
        <is>
          <t>Internship Stipend</t>
        </is>
      </c>
      <c r="B7" s="64" t="inlineStr">
        <is>
          <t>Income</t>
        </is>
      </c>
      <c r="C7" s="24">
        <f>'Master Budget'!C7</f>
        <v/>
      </c>
      <c r="D7" s="24">
        <f>SUMIFS('Bank Statements'!$E:$E, 'Bank Statements'!$K:$K, A7)</f>
        <v/>
      </c>
      <c r="E7" s="25">
        <f>IF(C7&gt;0, D7/C7, 0)</f>
        <v/>
      </c>
      <c r="F7" s="24">
        <f>D7-C7</f>
        <v/>
      </c>
      <c r="G7" s="26">
        <f>IF(D7&gt;=C7,"✅ 100% Realized",IF(D7&gt;0,"⏳ Partially Received","❌ Pending Deposit"))</f>
        <v/>
      </c>
      <c r="H7" s="65">
        <f>IF(E7&gt;=1,"██████████ 100%", REPT("█", INT(E7*10)) &amp; " " &amp; TEXT(E7,"0%"))</f>
        <v/>
      </c>
    </row>
    <row r="8">
      <c r="A8" s="23" t="inlineStr">
        <is>
          <t>Family Support</t>
        </is>
      </c>
      <c r="B8" s="64" t="inlineStr">
        <is>
          <t>Income</t>
        </is>
      </c>
      <c r="C8" s="24">
        <f>'Master Budget'!C8</f>
        <v/>
      </c>
      <c r="D8" s="24">
        <f>SUMIFS('Bank Statements'!$E:$E, 'Bank Statements'!$K:$K, A8)</f>
        <v/>
      </c>
      <c r="E8" s="25">
        <f>IF(C8&gt;0, D8/C8, 0)</f>
        <v/>
      </c>
      <c r="F8" s="24">
        <f>D8-C8</f>
        <v/>
      </c>
      <c r="G8" s="26">
        <f>IF(D8&gt;=C8,"✅ 100% Realized",IF(D8&gt;0,"⏳ Partially Received","❌ Pending Deposit"))</f>
        <v/>
      </c>
      <c r="H8" s="65">
        <f>IF(E8&gt;=1,"██████████ 100%", REPT("█", INT(E8*10)) &amp; " " &amp; TEXT(E8,"0%"))</f>
        <v/>
      </c>
    </row>
    <row r="9">
      <c r="A9" s="43" t="inlineStr">
        <is>
          <t>Total Income Cash Flow</t>
        </is>
      </c>
      <c r="B9" s="44" t="inlineStr">
        <is>
          <t>Total Inflow</t>
        </is>
      </c>
      <c r="C9" s="45">
        <f>SUM(C7:C8)</f>
        <v/>
      </c>
      <c r="D9" s="45">
        <f>SUM(D7:D8)</f>
        <v/>
      </c>
      <c r="E9" s="46">
        <f>IF(C9&gt;0, D9/C9, 0)</f>
        <v/>
      </c>
      <c r="F9" s="45">
        <f>D9-C9</f>
        <v/>
      </c>
      <c r="G9" s="44">
        <f>IF(D9&gt;=C9,"✅ Fully Funded","⏳ Pending Inflow")</f>
        <v/>
      </c>
      <c r="H9" s="66">
        <f>REPT("█", MIN(10, INT(E9*10))) &amp; " " &amp; TEXT(E9,"0%")</f>
        <v/>
      </c>
    </row>
    <row r="11">
      <c r="A11" s="31" t="inlineStr">
        <is>
          <t>2. SPENDING &amp; ALLOCATION TRACKING (Overgrown &amp; Budget Burn Intelligence)</t>
        </is>
      </c>
    </row>
    <row r="12">
      <c r="A12" s="47" t="inlineStr">
        <is>
          <t>Category / Line Item</t>
        </is>
      </c>
      <c r="B12" s="48" t="inlineStr">
        <is>
          <t>Type</t>
        </is>
      </c>
      <c r="C12" s="49" t="inlineStr">
        <is>
          <t>Planned Budget (₹)</t>
        </is>
      </c>
      <c r="D12" s="49" t="inlineStr">
        <is>
          <t>Actual Spent/Allocated (₹)</t>
        </is>
      </c>
      <c r="E12" s="48" t="inlineStr">
        <is>
          <t>Burn %</t>
        </is>
      </c>
      <c r="F12" s="49" t="inlineStr">
        <is>
          <t>Remaining / (Overgrown) (₹)</t>
        </is>
      </c>
      <c r="G12" s="48" t="inlineStr">
        <is>
          <t>Health Status Alert</t>
        </is>
      </c>
      <c r="H12" s="48" t="inlineStr">
        <is>
          <t>Visual Gauge</t>
        </is>
      </c>
    </row>
    <row r="13">
      <c r="A13" s="23" t="inlineStr">
        <is>
          <t>PG Rent &amp; Covered Meals</t>
        </is>
      </c>
      <c r="B13" s="64" t="inlineStr">
        <is>
          <t>Living Expense</t>
        </is>
      </c>
      <c r="C13" s="24">
        <f>'Master Budget'!C13</f>
        <v/>
      </c>
      <c r="D13" s="24">
        <f>SUMIFS('Bank Statements'!$D:$D, 'Bank Statements'!$K:$K, A13)</f>
        <v/>
      </c>
      <c r="E13" s="25">
        <f>IF(C13&gt;0, D13/C13, 0)</f>
        <v/>
      </c>
      <c r="F13" s="24">
        <f>C13-D13</f>
        <v/>
      </c>
      <c r="G13" s="26">
        <f>IF(D13&gt;C13, "🚨 OVER BUDGET! (-₹" &amp; TEXT(D13-C13,"#,##0") &amp; ")",IF(D13&gt;=C13*0.9, "⚠️ Near Limit (90%+ Spent)",IF(D13&gt;0, "✅ Within Budget", "⏳ No Spend Yet")))</f>
        <v/>
      </c>
      <c r="H13" s="67">
        <f>IF(E13&gt;1, "🚨 " &amp; TEXT(E13,"0%") &amp; " EXCEEDED", REPT("■", MIN(10, INT(E13*10))) &amp; REPT("□", 10-MIN(10, INT(E13*10))) &amp; " " &amp; TEXT(E13,"0%"))</f>
        <v/>
      </c>
    </row>
    <row r="14">
      <c r="A14" s="27" t="inlineStr">
        <is>
          <t>Daily Office Lunch (Mon–Sat)</t>
        </is>
      </c>
      <c r="B14" s="68" t="inlineStr">
        <is>
          <t>Food &amp; Dining</t>
        </is>
      </c>
      <c r="C14" s="28">
        <f>'Master Budget'!C14</f>
        <v/>
      </c>
      <c r="D14" s="28">
        <f>SUMIFS('Bank Statements'!$D:$D, 'Bank Statements'!$K:$K, A14)</f>
        <v/>
      </c>
      <c r="E14" s="29">
        <f>IF(C14&gt;0, D14/C14, 0)</f>
        <v/>
      </c>
      <c r="F14" s="28">
        <f>C14-D14</f>
        <v/>
      </c>
      <c r="G14" s="30">
        <f>IF(D14&gt;C14, "🚨 OVER BUDGET! (-₹" &amp; TEXT(D14-C14,"#,##0") &amp; ")",IF(D14&gt;=C14*0.9, "⚠️ Near Limit (90%+ Spent)",IF(D14&gt;0, "✅ Within Budget", "⏳ No Spend Yet")))</f>
        <v/>
      </c>
      <c r="H14" s="69">
        <f>IF(E14&gt;1, "🚨 " &amp; TEXT(E14,"0%") &amp; " EXCEEDED", REPT("■", MIN(10, INT(E14*10))) &amp; REPT("□", 10-MIN(10, INT(E14*10))) &amp; " " &amp; TEXT(E14,"0%"))</f>
        <v/>
      </c>
    </row>
    <row r="15">
      <c r="A15" s="23" t="inlineStr">
        <is>
          <t>BMTC Bus Commute</t>
        </is>
      </c>
      <c r="B15" s="64" t="inlineStr">
        <is>
          <t>Transport</t>
        </is>
      </c>
      <c r="C15" s="24">
        <f>'Master Budget'!C15</f>
        <v/>
      </c>
      <c r="D15" s="24">
        <f>SUMIFS('Bank Statements'!$D:$D, 'Bank Statements'!$K:$K, A15)</f>
        <v/>
      </c>
      <c r="E15" s="25">
        <f>IF(C15&gt;0, D15/C15, 0)</f>
        <v/>
      </c>
      <c r="F15" s="24">
        <f>C15-D15</f>
        <v/>
      </c>
      <c r="G15" s="26">
        <f>IF(D15&gt;C15, "🚨 OVER BUDGET! (-₹" &amp; TEXT(D15-C15,"#,##0") &amp; ")",IF(D15&gt;=C15*0.9, "⚠️ Near Limit (90%+ Spent)",IF(D15&gt;0, "✅ Within Budget", "⏳ No Spend Yet")))</f>
        <v/>
      </c>
      <c r="H15" s="67">
        <f>IF(E15&gt;1, "🚨 " &amp; TEXT(E15,"0%") &amp; " EXCEEDED", REPT("■", MIN(10, INT(E15*10))) &amp; REPT("□", 10-MIN(10, INT(E15*10))) &amp; " " &amp; TEXT(E15,"0%"))</f>
        <v/>
      </c>
    </row>
    <row r="16">
      <c r="A16" s="27" t="inlineStr">
        <is>
          <t>Lifestyle &amp; Personal Essentials</t>
        </is>
      </c>
      <c r="B16" s="68" t="inlineStr">
        <is>
          <t>Personal &amp; Bills</t>
        </is>
      </c>
      <c r="C16" s="28">
        <f>'Master Budget'!C16</f>
        <v/>
      </c>
      <c r="D16" s="28">
        <f>SUMIFS('Bank Statements'!$D:$D, 'Bank Statements'!$K:$K, A16)</f>
        <v/>
      </c>
      <c r="E16" s="29">
        <f>IF(C16&gt;0, D16/C16, 0)</f>
        <v/>
      </c>
      <c r="F16" s="28">
        <f>C16-D16</f>
        <v/>
      </c>
      <c r="G16" s="30">
        <f>IF(D16&gt;C16, "🚨 OVER BUDGET! (-₹" &amp; TEXT(D16-C16,"#,##0") &amp; ")",IF(D16&gt;=C16*0.9, "⚠️ Near Limit (90%+ Spent)",IF(D16&gt;0, "✅ Within Budget", "⏳ No Spend Yet")))</f>
        <v/>
      </c>
      <c r="H16" s="69">
        <f>IF(E16&gt;1, "🚨 " &amp; TEXT(E16,"0%") &amp; " EXCEEDED", REPT("■", MIN(10, INT(E16*10))) &amp; REPT("□", 10-MIN(10, INT(E16*10))) &amp; " " &amp; TEXT(E16,"0%"))</f>
        <v/>
      </c>
    </row>
    <row r="17">
      <c r="A17" s="23" t="inlineStr">
        <is>
          <t>Emergency Fund Allocation</t>
        </is>
      </c>
      <c r="B17" s="64" t="inlineStr">
        <is>
          <t>Savings Reserve</t>
        </is>
      </c>
      <c r="C17" s="24">
        <f>'Master Budget'!C17</f>
        <v/>
      </c>
      <c r="D17" s="24">
        <f>SUMIFS('Bank Statements'!$D:$D, 'Bank Statements'!$K:$K, A17)</f>
        <v/>
      </c>
      <c r="E17" s="25">
        <f>IF(C17&gt;0, D17/C17, 0)</f>
        <v/>
      </c>
      <c r="F17" s="24">
        <f>C17-D17</f>
        <v/>
      </c>
      <c r="G17" s="26">
        <f>IF(D17&gt;C17, "🚨 OVER BUDGET! (-₹" &amp; TEXT(D17-C17,"#,##0") &amp; ")",IF(D17&gt;=C17*0.9, "⚠️ Near Limit (90%+ Spent)",IF(D17&gt;0, "✅ Within Budget", "⏳ No Spend Yet")))</f>
        <v/>
      </c>
      <c r="H17" s="67">
        <f>IF(E17&gt;1, "🚨 " &amp; TEXT(E17,"0%") &amp; " EXCEEDED", REPT("■", MIN(10, INT(E17*10))) &amp; REPT("□", 10-MIN(10, INT(E17*10))) &amp; " " &amp; TEXT(E17,"0%"))</f>
        <v/>
      </c>
    </row>
    <row r="18">
      <c r="A18" s="27" t="inlineStr">
        <is>
          <t>Monthly SIP Investment</t>
        </is>
      </c>
      <c r="B18" s="68" t="inlineStr">
        <is>
          <t>Wealth Creation</t>
        </is>
      </c>
      <c r="C18" s="28">
        <f>'Master Budget'!C18</f>
        <v/>
      </c>
      <c r="D18" s="28">
        <f>SUMIFS('Bank Statements'!$D:$D, 'Bank Statements'!$K:$K, A18)</f>
        <v/>
      </c>
      <c r="E18" s="29">
        <f>IF(C18&gt;0, D18/C18, 0)</f>
        <v/>
      </c>
      <c r="F18" s="28">
        <f>C18-D18</f>
        <v/>
      </c>
      <c r="G18" s="30">
        <f>IF(D18&gt;C18, "🚨 OVER BUDGET! (-₹" &amp; TEXT(D18-C18,"#,##0") &amp; ")",IF(D18&gt;=C18*0.9, "⚠️ Near Limit (90%+ Spent)",IF(D18&gt;0, "✅ Within Budget", "⏳ No Spend Yet")))</f>
        <v/>
      </c>
      <c r="H18" s="69">
        <f>IF(E18&gt;1, "🚨 " &amp; TEXT(E18,"0%") &amp; " EXCEEDED", REPT("■", MIN(10, INT(E18*10))) &amp; REPT("□", 10-MIN(10, INT(E18*10))) &amp; " " &amp; TEXT(E18,"0%"))</f>
        <v/>
      </c>
    </row>
    <row r="19">
      <c r="A19" s="23" t="inlineStr">
        <is>
          <t>Unallocated Flex Buffer</t>
        </is>
      </c>
      <c r="B19" s="64" t="inlineStr">
        <is>
          <t>Cash Buffer</t>
        </is>
      </c>
      <c r="C19" s="24">
        <f>'Master Budget'!C19</f>
        <v/>
      </c>
      <c r="D19" s="24">
        <f>SUMIFS('Bank Statements'!$D:$D, 'Bank Statements'!$K:$K, A19)</f>
        <v/>
      </c>
      <c r="E19" s="25">
        <f>IF(C19&gt;0, D19/C19, 0)</f>
        <v/>
      </c>
      <c r="F19" s="24">
        <f>C19-D19</f>
        <v/>
      </c>
      <c r="G19" s="26">
        <f>IF(D19&gt;C19, "🚨 OVER BUDGET! (-₹" &amp; TEXT(D19-C19,"#,##0") &amp; ")",IF(D19&gt;=C19*0.9, "⚠️ Near Limit (90%+ Spent)",IF(D19&gt;0, "✅ Within Budget", "⏳ No Spend Yet")))</f>
        <v/>
      </c>
      <c r="H19" s="67">
        <f>IF(E19&gt;1, "🚨 " &amp; TEXT(E19,"0%") &amp; " EXCEEDED", REPT("■", MIN(10, INT(E19*10))) &amp; REPT("□", 10-MIN(10, INT(E19*10))) &amp; " " &amp; TEXT(E19,"0%"))</f>
        <v/>
      </c>
    </row>
    <row r="20">
      <c r="A20" s="43" t="inlineStr">
        <is>
          <t>Total Expenses &amp; Allocations</t>
        </is>
      </c>
      <c r="B20" s="44" t="inlineStr">
        <is>
          <t>Total Outflow</t>
        </is>
      </c>
      <c r="C20" s="45">
        <f>SUM(C13:C19)</f>
        <v/>
      </c>
      <c r="D20" s="45">
        <f>SUM(D13:D19)</f>
        <v/>
      </c>
      <c r="E20" s="46">
        <f>IF(C20&gt;0, D20/C20, 0)</f>
        <v/>
      </c>
      <c r="F20" s="45">
        <f>C20-D20</f>
        <v/>
      </c>
      <c r="G20" s="44">
        <f>IF(D20&gt;C20, "🚨 OVER TOTAL BUDGET", IF(D20&gt;=C20*0.9, "⚠️ Near Total Cap", "✅ Net Under Budget"))</f>
        <v/>
      </c>
      <c r="H20" s="66">
        <f>REPT("■", MIN(10, INT(E20*10))) &amp; " " &amp; TEXT(E20,"0%")</f>
        <v/>
      </c>
    </row>
    <row r="22">
      <c r="A22" s="54" t="inlineStr">
        <is>
          <t>NET MONTHLY CASH SURPLUS (Income - Actual Outflow):</t>
        </is>
      </c>
      <c r="D22" s="70">
        <f>D9-D20</f>
        <v/>
      </c>
      <c r="G22" s="71">
        <f>IF(D22&gt;=0, "✅ Positive Cash Flow", "🚨 Net Deficit")</f>
        <v/>
      </c>
    </row>
  </sheetData>
  <mergeCells count="3">
    <mergeCell ref="A1:H2"/>
    <mergeCell ref="A11:H11"/>
    <mergeCell ref="A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2026-10-10T14:24:51Z</dcterms:created>
  <dcterms:modified xmlns:dcterms="http://purl.org/dc/terms/" xmlns:xsi="http://www.w3.org/2001/XMLSchema-instance" xsi:type="dcterms:W3CDTF">2026-10-10T14:24:52Z</dcterms:modified>
</cp:coreProperties>
</file>